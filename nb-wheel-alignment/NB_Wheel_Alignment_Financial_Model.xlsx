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Startup Costs" sheetId="3" state="visible" r:id="rId3"/>
    <sheet name="Monthly P&amp;L" sheetId="4" state="visible" r:id="rId4"/>
    <sheet name="Note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$#,##0;($#,##0);&quot;-&quot;"/>
    <numFmt numFmtId="166" formatCode="#,##0;(#,##0);&quot;-&quot;"/>
    <numFmt numFmtId="167" formatCode="0.0%;(0.0%);&quot;-&quot;"/>
    <numFmt numFmtId="168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color rgb="000000FF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i val="1"/>
      <color rgb="00000000"/>
      <sz val="10"/>
    </font>
    <font>
      <name val="Arial"/>
      <b val="1"/>
      <color rgb="000080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top style="thin"/>
      <bottom style="double"/>
    </border>
    <border>
      <bottom style="medium">
        <color rgb="001F3864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0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166" fontId="7" fillId="0" borderId="0" pivotButton="0" quotePrefix="0" xfId="0"/>
    <xf numFmtId="165" fontId="7" fillId="0" borderId="0" pivotButton="0" quotePrefix="0" xfId="0"/>
    <xf numFmtId="0" fontId="6" fillId="0" borderId="0" pivotButton="0" quotePrefix="0" xfId="0"/>
    <xf numFmtId="167" fontId="10" fillId="0" borderId="0" pivotButton="0" quotePrefix="0" xfId="0"/>
    <xf numFmtId="165" fontId="6" fillId="0" borderId="0" pivotButton="0" quotePrefix="0" xfId="0"/>
    <xf numFmtId="165" fontId="10" fillId="0" borderId="0" pivotButton="0" quotePrefix="0" xfId="0"/>
    <xf numFmtId="168" fontId="6" fillId="5" borderId="0" pivotButton="0" quotePrefix="0" xfId="0"/>
    <xf numFmtId="0" fontId="6" fillId="5" borderId="0" pivotButton="0" quotePrefix="0" xfId="0"/>
    <xf numFmtId="168" fontId="10" fillId="0" borderId="0" pivotButton="0" quotePrefix="0" xfId="0"/>
    <xf numFmtId="0" fontId="3" fillId="2" borderId="0" pivotButton="0" quotePrefix="0" xfId="0"/>
    <xf numFmtId="164" fontId="3" fillId="0" borderId="0" pivotButton="0" quotePrefix="0" xfId="0"/>
    <xf numFmtId="164" fontId="6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6" fontId="6" fillId="0" borderId="0" pivotButton="0" quotePrefix="0" xfId="0"/>
    <xf numFmtId="166" fontId="3" fillId="2" borderId="0" pivotButton="0" quotePrefix="0" xfId="0"/>
    <xf numFmtId="167" fontId="3" fillId="0" borderId="0" pivotButton="0" quotePrefix="0" xfId="0"/>
    <xf numFmtId="165" fontId="3" fillId="2" borderId="0" pivotButton="0" quotePrefix="0" xfId="0"/>
    <xf numFmtId="167" fontId="3" fillId="2" borderId="0" pivotButton="0" quotePrefix="0" xfId="0"/>
    <xf numFmtId="2" fontId="3" fillId="0" borderId="0" pivotButton="0" quotePrefix="0" xfId="0"/>
    <xf numFmtId="0" fontId="8" fillId="0" borderId="0" pivotButton="0" quotePrefix="0" xfId="0"/>
    <xf numFmtId="2" fontId="10" fillId="0" borderId="0" pivotButton="0" quotePrefix="0" xfId="0"/>
    <xf numFmtId="165" fontId="6" fillId="0" borderId="1" pivotButton="0" quotePrefix="0" xfId="0"/>
    <xf numFmtId="166" fontId="10" fillId="0" borderId="0" pivotButton="0" quotePrefix="0" xfId="0"/>
    <xf numFmtId="0" fontId="10" fillId="0" borderId="2" pivotButton="0" quotePrefix="0" xfId="0"/>
    <xf numFmtId="167" fontId="10" fillId="0" borderId="2" pivotButton="0" quotePrefix="0" xfId="0"/>
    <xf numFmtId="2" fontId="10" fillId="0" borderId="2" pivotButton="0" quotePrefix="0" xfId="0"/>
    <xf numFmtId="166" fontId="10" fillId="0" borderId="2" pivotButton="0" quotePrefix="0" xfId="0"/>
    <xf numFmtId="165" fontId="10" fillId="0" borderId="2" pivotButton="0" quotePrefix="0" xfId="0"/>
    <xf numFmtId="165" fontId="6" fillId="0" borderId="2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Wheel Alignment Shop – New Brunswick: Financial Summary</t>
        </is>
      </c>
    </row>
    <row r="2">
      <c r="A2" s="2" t="inlineStr">
        <is>
          <t>Change assumptions on the Inputs sheet. Estimates only — verify with local quotes before committing money.</t>
        </is>
      </c>
    </row>
    <row r="3"/>
    <row r="4">
      <c r="A4" s="3" t="inlineStr">
        <is>
          <t>Scenario</t>
        </is>
      </c>
      <c r="B4" s="4" t="n"/>
      <c r="C4" s="4" t="n"/>
      <c r="D4" s="4" t="n"/>
    </row>
    <row r="5">
      <c r="A5" s="5" t="inlineStr">
        <is>
          <t>City</t>
        </is>
      </c>
      <c r="B5" s="6">
        <f>Inputs!B4</f>
        <v/>
      </c>
    </row>
    <row r="6">
      <c r="A6" s="5" t="inlineStr">
        <is>
          <t>Setup level</t>
        </is>
      </c>
      <c r="B6" s="6">
        <f>Inputs!B5</f>
        <v/>
      </c>
    </row>
    <row r="7">
      <c r="A7" s="5" t="inlineStr">
        <is>
          <t>Total startup cost</t>
        </is>
      </c>
      <c r="B7" s="7">
        <f>Inputs!B43</f>
        <v/>
      </c>
    </row>
    <row r="8">
      <c r="A8" s="5" t="inlineStr">
        <is>
          <t>Loan amount</t>
        </is>
      </c>
      <c r="B8" s="7">
        <f>Inputs!B44</f>
        <v/>
      </c>
    </row>
    <row r="9">
      <c r="A9" s="5" t="inlineStr">
        <is>
          <t>Owner equity required</t>
        </is>
      </c>
      <c r="B9" s="7">
        <f>Inputs!B46</f>
        <v/>
      </c>
    </row>
    <row r="10">
      <c r="A10" s="5" t="inlineStr">
        <is>
          <t>Monthly loan payment</t>
        </is>
      </c>
      <c r="B10" s="7">
        <f>Inputs!B45</f>
        <v/>
      </c>
    </row>
    <row r="11"/>
    <row r="12">
      <c r="A12" s="3" t="inlineStr">
        <is>
          <t>3-year projection</t>
        </is>
      </c>
      <c r="B12" s="4" t="n"/>
      <c r="C12" s="4" t="n"/>
      <c r="D12" s="4" t="n"/>
    </row>
    <row r="13">
      <c r="A13" s="8" t="inlineStr">
        <is>
          <t>Metric</t>
        </is>
      </c>
      <c r="B13" s="8" t="inlineStr">
        <is>
          <t>Year 1</t>
        </is>
      </c>
      <c r="C13" s="8" t="inlineStr">
        <is>
          <t>Year 2</t>
        </is>
      </c>
      <c r="D13" s="8" t="inlineStr">
        <is>
          <t>Year 3</t>
        </is>
      </c>
    </row>
    <row r="14">
      <c r="A14" s="5" t="inlineStr">
        <is>
          <t>Alignments</t>
        </is>
      </c>
      <c r="B14" s="9">
        <f>SUMIFS('Monthly P&amp;L'!$G$5:$G$40,'Monthly P&amp;L'!$B$5:$B$40,1)</f>
        <v/>
      </c>
      <c r="C14" s="9">
        <f>SUMIFS('Monthly P&amp;L'!$G$5:$G$40,'Monthly P&amp;L'!$B$5:$B$40,2)</f>
        <v/>
      </c>
      <c r="D14" s="9">
        <f>SUMIFS('Monthly P&amp;L'!$G$5:$G$40,'Monthly P&amp;L'!$B$5:$B$40,3)</f>
        <v/>
      </c>
    </row>
    <row r="15">
      <c r="A15" s="5" t="inlineStr">
        <is>
          <t>Alignment revenue</t>
        </is>
      </c>
      <c r="B15" s="10">
        <f>SUMIFS('Monthly P&amp;L'!$H$5:$H$40,'Monthly P&amp;L'!$B$5:$B$40,1)</f>
        <v/>
      </c>
      <c r="C15" s="10">
        <f>SUMIFS('Monthly P&amp;L'!$H$5:$H$40,'Monthly P&amp;L'!$B$5:$B$40,2)</f>
        <v/>
      </c>
      <c r="D15" s="10">
        <f>SUMIFS('Monthly P&amp;L'!$H$5:$H$40,'Monthly P&amp;L'!$B$5:$B$40,3)</f>
        <v/>
      </c>
    </row>
    <row r="16">
      <c r="A16" s="5" t="inlineStr">
        <is>
          <t>Balancing revenue</t>
        </is>
      </c>
      <c r="B16" s="10">
        <f>SUMIFS('Monthly P&amp;L'!$I$5:$I$40,'Monthly P&amp;L'!$B$5:$B$40,1)</f>
        <v/>
      </c>
      <c r="C16" s="10">
        <f>SUMIFS('Monthly P&amp;L'!$I$5:$I$40,'Monthly P&amp;L'!$B$5:$B$40,2)</f>
        <v/>
      </c>
      <c r="D16" s="10">
        <f>SUMIFS('Monthly P&amp;L'!$I$5:$I$40,'Monthly P&amp;L'!$B$5:$B$40,3)</f>
        <v/>
      </c>
    </row>
    <row r="17">
      <c r="A17" s="5" t="inlineStr">
        <is>
          <t>Tire swap revenue</t>
        </is>
      </c>
      <c r="B17" s="10">
        <f>SUMIFS('Monthly P&amp;L'!$J$5:$J$40,'Monthly P&amp;L'!$B$5:$B$40,1)</f>
        <v/>
      </c>
      <c r="C17" s="10">
        <f>SUMIFS('Monthly P&amp;L'!$J$5:$J$40,'Monthly P&amp;L'!$B$5:$B$40,2)</f>
        <v/>
      </c>
      <c r="D17" s="10">
        <f>SUMIFS('Monthly P&amp;L'!$J$5:$J$40,'Monthly P&amp;L'!$B$5:$B$40,3)</f>
        <v/>
      </c>
    </row>
    <row r="18">
      <c r="A18" s="5" t="inlineStr">
        <is>
          <t>Storage revenue</t>
        </is>
      </c>
      <c r="B18" s="10">
        <f>SUMIFS('Monthly P&amp;L'!$K$5:$K$40,'Monthly P&amp;L'!$B$5:$B$40,1)</f>
        <v/>
      </c>
      <c r="C18" s="10">
        <f>SUMIFS('Monthly P&amp;L'!$K$5:$K$40,'Monthly P&amp;L'!$B$5:$B$40,2)</f>
        <v/>
      </c>
      <c r="D18" s="10">
        <f>SUMIFS('Monthly P&amp;L'!$K$5:$K$40,'Monthly P&amp;L'!$B$5:$B$40,3)</f>
        <v/>
      </c>
    </row>
    <row r="19">
      <c r="A19" s="5" t="inlineStr">
        <is>
          <t>Parts &amp; tire gross profit</t>
        </is>
      </c>
      <c r="B19" s="10">
        <f>SUMIFS('Monthly P&amp;L'!$L$5:$L$40,'Monthly P&amp;L'!$B$5:$B$40,1)</f>
        <v/>
      </c>
      <c r="C19" s="10">
        <f>SUMIFS('Monthly P&amp;L'!$L$5:$L$40,'Monthly P&amp;L'!$B$5:$B$40,2)</f>
        <v/>
      </c>
      <c r="D19" s="10">
        <f>SUMIFS('Monthly P&amp;L'!$L$5:$L$40,'Monthly P&amp;L'!$B$5:$B$40,3)</f>
        <v/>
      </c>
    </row>
    <row r="20">
      <c r="A20" s="11" t="inlineStr">
        <is>
          <t>Total revenue &amp; gross profit</t>
        </is>
      </c>
      <c r="B20" s="10">
        <f>SUMIFS('Monthly P&amp;L'!$M$5:$M$40,'Monthly P&amp;L'!$B$5:$B$40,1)</f>
        <v/>
      </c>
      <c r="C20" s="10">
        <f>SUMIFS('Monthly P&amp;L'!$M$5:$M$40,'Monthly P&amp;L'!$B$5:$B$40,2)</f>
        <v/>
      </c>
      <c r="D20" s="10">
        <f>SUMIFS('Monthly P&amp;L'!$M$5:$M$40,'Monthly P&amp;L'!$B$5:$B$40,3)</f>
        <v/>
      </c>
    </row>
    <row r="21">
      <c r="A21" s="11" t="inlineStr">
        <is>
          <t>Total costs</t>
        </is>
      </c>
      <c r="B21" s="10">
        <f>SUMIFS('Monthly P&amp;L'!$U$5:$U$40,'Monthly P&amp;L'!$B$5:$B$40,1)</f>
        <v/>
      </c>
      <c r="C21" s="10">
        <f>SUMIFS('Monthly P&amp;L'!$U$5:$U$40,'Monthly P&amp;L'!$B$5:$B$40,2)</f>
        <v/>
      </c>
      <c r="D21" s="10">
        <f>SUMIFS('Monthly P&amp;L'!$U$5:$U$40,'Monthly P&amp;L'!$B$5:$B$40,3)</f>
        <v/>
      </c>
    </row>
    <row r="22">
      <c r="A22" s="11" t="inlineStr">
        <is>
          <t>Net profit (pre-tax)</t>
        </is>
      </c>
      <c r="B22" s="10">
        <f>SUMIFS('Monthly P&amp;L'!$V$5:$V$40,'Monthly P&amp;L'!$B$5:$B$40,1)</f>
        <v/>
      </c>
      <c r="C22" s="10">
        <f>SUMIFS('Monthly P&amp;L'!$V$5:$V$40,'Monthly P&amp;L'!$B$5:$B$40,2)</f>
        <v/>
      </c>
      <c r="D22" s="10">
        <f>SUMIFS('Monthly P&amp;L'!$V$5:$V$40,'Monthly P&amp;L'!$B$5:$B$40,3)</f>
        <v/>
      </c>
    </row>
    <row r="23">
      <c r="A23" s="5" t="inlineStr">
        <is>
          <t>Net margin</t>
        </is>
      </c>
      <c r="B23" s="12">
        <f>IF(B20=0,0,B22/B20)</f>
        <v/>
      </c>
      <c r="C23" s="12">
        <f>IF(C20=0,0,C22/C20)</f>
        <v/>
      </c>
      <c r="D23" s="12">
        <f>IF(D20=0,0,D22/D20)</f>
        <v/>
      </c>
    </row>
    <row r="24">
      <c r="A24" s="5" t="inlineStr">
        <is>
          <t>Average net profit per month</t>
        </is>
      </c>
      <c r="B24" s="13">
        <f>B22/12</f>
        <v/>
      </c>
      <c r="C24" s="13">
        <f>C22/12</f>
        <v/>
      </c>
      <c r="D24" s="13">
        <f>D22/12</f>
        <v/>
      </c>
    </row>
    <row r="25"/>
    <row r="26">
      <c r="A26" s="3" t="inlineStr">
        <is>
          <t>Breakeven &amp; payback (mature operations, selected city)</t>
        </is>
      </c>
      <c r="B26" s="4" t="n"/>
      <c r="C26" s="4" t="n"/>
      <c r="D26" s="4" t="n"/>
    </row>
    <row r="27">
      <c r="A27" s="5" t="inlineStr">
        <is>
          <t>Contribution per alignment (incl. balancing attach)</t>
        </is>
      </c>
      <c r="B27" s="14">
        <f>(Inputs!$E$12+Inputs!B22*Inputs!B23)*(1-Inputs!B29-Inputs!B30)</f>
        <v/>
      </c>
    </row>
    <row r="28">
      <c r="A28" s="5" t="inlineStr">
        <is>
          <t>Other monthly gross profit (tires, storage, parts)</t>
        </is>
      </c>
      <c r="B28" s="14">
        <f>(Inputs!B24*Inputs!B25+Inputs!B26*Inputs!B27*2)*(1-Inputs!B30)/12+Inputs!B28</f>
        <v/>
      </c>
    </row>
    <row r="29">
      <c r="A29" s="5" t="inlineStr">
        <is>
          <t>Fixed monthly costs (rent, wages, overhead, loan, owner draw)</t>
        </is>
      </c>
      <c r="B29" s="14">
        <f>Inputs!B17*Inputs!$E$10/12+Inputs!B18*Inputs!B19*Inputs!$E$11*(1+Inputs!B20)+SUM(Inputs!B31:B36)+Inputs!B45+Inputs!B37</f>
        <v/>
      </c>
    </row>
    <row r="30">
      <c r="A30" s="11" t="inlineStr">
        <is>
          <t>Breakeven alignments per working day</t>
        </is>
      </c>
      <c r="B30" s="15">
        <f>IF(B27=0,0,MAX(0,(B29-B28)/(B27*Inputs!B21)))</f>
        <v/>
      </c>
    </row>
    <row r="31">
      <c r="A31" s="11" t="inlineStr">
        <is>
          <t>Month cumulative profit repays owner equity</t>
        </is>
      </c>
      <c r="B31" s="16">
        <f>IF(COUNT('Monthly P&amp;L'!X5:X40)=0,"Beyond 36 months",MIN('Monthly P&amp;L'!X5:X40))</f>
        <v/>
      </c>
    </row>
    <row r="32">
      <c r="A32" s="5" t="inlineStr">
        <is>
          <t>Breakeven alignments/day with NO tire, storage or parts income</t>
        </is>
      </c>
      <c r="B32" s="17">
        <f>IF(B27=0,0,B29/(B27*Inputs!B21))</f>
        <v/>
      </c>
    </row>
    <row r="33"/>
    <row r="34">
      <c r="A34" s="3" t="inlineStr">
        <is>
          <t>City comparison – mature-year net profit (same shop, city presets)</t>
        </is>
      </c>
      <c r="B34" s="4" t="n"/>
      <c r="C34" s="4" t="n"/>
      <c r="D34" s="4" t="n"/>
    </row>
    <row r="35">
      <c r="A35" s="8" t="inlineStr">
        <is>
          <t>City</t>
        </is>
      </c>
      <c r="B35" s="8" t="inlineStr">
        <is>
          <t>Mature net profit / yr</t>
        </is>
      </c>
      <c r="C35" s="8" t="inlineStr">
        <is>
          <t>Breakeven alignments/day</t>
        </is>
      </c>
      <c r="D35" s="8" t="inlineStr">
        <is>
          <t>Rent / month</t>
        </is>
      </c>
    </row>
    <row r="36">
      <c r="A36" s="5" t="inlineStr">
        <is>
          <t>Moncton</t>
        </is>
      </c>
      <c r="B36" s="14">
        <f>12*(Inputs!B13*Inputs!$B$21*((Inputs!B12+Inputs!$B$22*Inputs!$B$23)*(1-Inputs!$B$29-Inputs!$B$30))+$B$28-(Inputs!$B$17*Inputs!B10/12+Inputs!$B$18*Inputs!$B$19*Inputs!B11*(1+Inputs!$B$20)+SUM(Inputs!$B$31:$B$36)+Inputs!$B$45+Inputs!$B$37))</f>
        <v/>
      </c>
      <c r="C36" s="17">
        <f>MAX(0,((Inputs!$B$17*Inputs!B10/12+Inputs!$B$18*Inputs!$B$19*Inputs!B11*(1+Inputs!$B$20)+SUM(Inputs!$B$31:$B$36)+Inputs!$B$45+Inputs!$B$37)-$B$28)/(((Inputs!B12+Inputs!$B$22*Inputs!$B$23)*(1-Inputs!$B$29-Inputs!$B$30))*Inputs!$B$21))</f>
        <v/>
      </c>
      <c r="D36" s="14">
        <f>Inputs!$B$17*Inputs!B10/12</f>
        <v/>
      </c>
    </row>
    <row r="37">
      <c r="A37" s="5" t="inlineStr">
        <is>
          <t>Saint John</t>
        </is>
      </c>
      <c r="B37" s="14">
        <f>12*(Inputs!C13*Inputs!$B$21*((Inputs!C12+Inputs!$B$22*Inputs!$B$23)*(1-Inputs!$B$29-Inputs!$B$30))+$B$28-(Inputs!$B$17*Inputs!C10/12+Inputs!$B$18*Inputs!$B$19*Inputs!C11*(1+Inputs!$B$20)+SUM(Inputs!$B$31:$B$36)+Inputs!$B$45+Inputs!$B$37))</f>
        <v/>
      </c>
      <c r="C37" s="17">
        <f>MAX(0,((Inputs!$B$17*Inputs!C10/12+Inputs!$B$18*Inputs!$B$19*Inputs!C11*(1+Inputs!$B$20)+SUM(Inputs!$B$31:$B$36)+Inputs!$B$45+Inputs!$B$37)-$B$28)/(((Inputs!C12+Inputs!$B$22*Inputs!$B$23)*(1-Inputs!$B$29-Inputs!$B$30))*Inputs!$B$21))</f>
        <v/>
      </c>
      <c r="D37" s="14">
        <f>Inputs!$B$17*Inputs!C10/12</f>
        <v/>
      </c>
    </row>
    <row r="38">
      <c r="A38" s="5" t="inlineStr">
        <is>
          <t>Fredericton</t>
        </is>
      </c>
      <c r="B38" s="14">
        <f>12*(Inputs!D13*Inputs!$B$21*((Inputs!D12+Inputs!$B$22*Inputs!$B$23)*(1-Inputs!$B$29-Inputs!$B$30))+$B$28-(Inputs!$B$17*Inputs!D10/12+Inputs!$B$18*Inputs!$B$19*Inputs!D11*(1+Inputs!$B$20)+SUM(Inputs!$B$31:$B$36)+Inputs!$B$45+Inputs!$B$37))</f>
        <v/>
      </c>
      <c r="C38" s="17">
        <f>MAX(0,((Inputs!$B$17*Inputs!D10/12+Inputs!$B$18*Inputs!$B$19*Inputs!D11*(1+Inputs!$B$20)+SUM(Inputs!$B$31:$B$36)+Inputs!$B$45+Inputs!$B$37)-$B$28)/(((Inputs!D12+Inputs!$B$22*Inputs!$B$23)*(1-Inputs!$B$29-Inputs!$B$30))*Inputs!$B$21))</f>
        <v/>
      </c>
      <c r="D38" s="14">
        <f>Inputs!$B$17*Inputs!D10/12</f>
        <v/>
      </c>
    </row>
    <row r="39"/>
    <row r="40">
      <c r="A40" s="2" t="inlineStr">
        <is>
          <t>Pre-tax figures, before owner salary unless Inputs!B37 is set. Revenue excludes 15% HST.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22" customWidth="1" min="5" max="5"/>
    <col width="70" customWidth="1" min="6" max="6"/>
  </cols>
  <sheetData>
    <row r="1">
      <c r="A1" s="1" t="inlineStr">
        <is>
          <t>NB Wheel Alignment Shop – Inputs &amp; Assumptions</t>
        </is>
      </c>
    </row>
    <row r="2">
      <c r="A2" s="2" t="inlineStr">
        <is>
          <t>Edit BLUE cells (YELLOW = key choices). Black cells are formulas. All figures CAD, excl. HST.</t>
        </is>
      </c>
    </row>
    <row r="3"/>
    <row r="4">
      <c r="A4" s="5" t="inlineStr">
        <is>
          <t>Selected city</t>
        </is>
      </c>
      <c r="B4" s="18" t="inlineStr">
        <is>
          <t>Moncton</t>
        </is>
      </c>
      <c r="C4" s="5" t="inlineStr">
        <is>
          <t>Pick from dropdown: Moncton, Saint John, Fredericton</t>
        </is>
      </c>
    </row>
    <row r="5">
      <c r="A5" s="5" t="inlineStr">
        <is>
          <t>Shop setup level (Lean / Pro)</t>
        </is>
      </c>
      <c r="B5" s="18" t="inlineStr">
        <is>
          <t>Lean</t>
        </is>
      </c>
      <c r="C5" s="5" t="inlineStr">
        <is>
          <t>Lean = budget/used equipment; Pro = premium 3D aligner + ADAS kit</t>
        </is>
      </c>
    </row>
    <row r="6">
      <c r="A6" s="5" t="inlineStr">
        <is>
          <t>Opening month (1=Jan … 12=Dec)</t>
        </is>
      </c>
      <c r="B6" s="18" t="n">
        <v>4</v>
      </c>
      <c r="C6" s="5" t="inlineStr">
        <is>
          <t>Example: 4 = open in April, just before spring pothole season</t>
        </is>
      </c>
    </row>
    <row r="7"/>
    <row r="8">
      <c r="A8" s="3" t="inlineStr">
        <is>
          <t>City presets</t>
        </is>
      </c>
      <c r="B8" s="4" t="n"/>
      <c r="C8" s="4" t="n"/>
      <c r="D8" s="4" t="n"/>
      <c r="E8" s="4" t="n"/>
      <c r="F8" s="4" t="n"/>
    </row>
    <row r="9">
      <c r="A9" s="8" t="inlineStr">
        <is>
          <t>Item</t>
        </is>
      </c>
      <c r="B9" s="8" t="inlineStr">
        <is>
          <t>Moncton</t>
        </is>
      </c>
      <c r="C9" s="8" t="inlineStr">
        <is>
          <t>Saint John</t>
        </is>
      </c>
      <c r="D9" s="8" t="inlineStr">
        <is>
          <t>Fredericton</t>
        </is>
      </c>
      <c r="E9" s="8" t="inlineStr">
        <is>
          <t>Active (selected city)</t>
        </is>
      </c>
      <c r="F9" s="8" t="inlineStr">
        <is>
          <t>Notes / source</t>
        </is>
      </c>
    </row>
    <row r="10">
      <c r="A10" s="5" t="inlineStr">
        <is>
          <t>Gross rent ($/sq ft/yr, net + additional rent)</t>
        </is>
      </c>
      <c r="B10" s="19" t="n">
        <v>24</v>
      </c>
      <c r="C10" s="19" t="n">
        <v>20</v>
      </c>
      <c r="D10" s="19" t="n">
        <v>22</v>
      </c>
      <c r="E10" s="20">
        <f>INDEX(B10:D10,MATCH($B$4,$B$9:$D$9,0))</f>
        <v/>
      </c>
      <c r="F10" s="2" t="inlineStr">
        <is>
          <t>Estimate. Moncton industrial units listed ~$13–18 net + ~$6–11 additional (Realtor.ca/CBRE 2026)</t>
        </is>
      </c>
    </row>
    <row r="11">
      <c r="A11" s="5" t="inlineStr">
        <is>
          <t>Technician wage ($/hr)</t>
        </is>
      </c>
      <c r="B11" s="19" t="n">
        <v>28</v>
      </c>
      <c r="C11" s="19" t="n">
        <v>27</v>
      </c>
      <c r="D11" s="19" t="n">
        <v>28</v>
      </c>
      <c r="E11" s="20">
        <f>INDEX(B11:D11,MATCH($B$4,$B$9:$D$9,0))</f>
        <v/>
      </c>
      <c r="F11" s="2" t="inlineStr">
        <is>
          <t>NB avg ~$20/hr (range $17–27, Payscale/Job Bank); experienced alignment/Red Seal tech assumed higher</t>
        </is>
      </c>
    </row>
    <row r="12">
      <c r="A12" s="5" t="inlineStr">
        <is>
          <t>Avg 4-wheel alignment price ($)</t>
        </is>
      </c>
      <c r="B12" s="21" t="n">
        <v>135</v>
      </c>
      <c r="C12" s="21" t="n">
        <v>130</v>
      </c>
      <c r="D12" s="21" t="n">
        <v>135</v>
      </c>
      <c r="E12" s="13">
        <f>INDEX(B12:D12,MATCH($B$4,$B$9:$D$9,0))</f>
        <v/>
      </c>
      <c r="F12" s="2" t="inlineStr">
        <is>
          <t>Estimate from typical NB range $110–170</t>
        </is>
      </c>
    </row>
    <row r="13">
      <c r="A13" s="5" t="inlineStr">
        <is>
          <t>Alignments/day at maturity</t>
        </is>
      </c>
      <c r="B13" s="22" t="n">
        <v>9</v>
      </c>
      <c r="C13" s="22" t="n">
        <v>8</v>
      </c>
      <c r="D13" s="22" t="n">
        <v>8</v>
      </c>
      <c r="E13" s="23">
        <f>INDEX(B13:D13,MATCH($B$4,$B$9:$D$9,0))</f>
        <v/>
      </c>
      <c r="F13" s="2" t="inlineStr">
        <is>
          <t>Assumption – established 2-bay shop</t>
        </is>
      </c>
    </row>
    <row r="14">
      <c r="A14" s="5" t="inlineStr">
        <is>
          <t>Metro population (approx., info only)</t>
        </is>
      </c>
      <c r="B14" s="22" t="n">
        <v>180000</v>
      </c>
      <c r="C14" s="22" t="n">
        <v>135000</v>
      </c>
      <c r="D14" s="22" t="n">
        <v>115000</v>
      </c>
      <c r="E14" s="23">
        <f>INDEX(B14:D14,MATCH($B$4,$B$9:$D$9,0))</f>
        <v/>
      </c>
      <c r="F14" s="2" t="inlineStr">
        <is>
          <t>Approximate CMA populations</t>
        </is>
      </c>
    </row>
    <row r="15"/>
    <row r="16">
      <c r="A16" s="3" t="inlineStr">
        <is>
          <t>Operating assumptions</t>
        </is>
      </c>
      <c r="B16" s="4" t="n"/>
      <c r="C16" s="4" t="n"/>
      <c r="D16" s="4" t="n"/>
      <c r="E16" s="4" t="n"/>
      <c r="F16" s="4" t="n"/>
    </row>
    <row r="17">
      <c r="A17" s="5" t="inlineStr">
        <is>
          <t>Shop size (sq ft)</t>
        </is>
      </c>
      <c r="B17" s="24" t="n">
        <v>2200</v>
      </c>
      <c r="C17" s="2" t="inlineStr">
        <is>
          <t>2 bays + office/waiting + tire storage</t>
        </is>
      </c>
    </row>
    <row r="18">
      <c r="A18" s="5" t="inlineStr">
        <is>
          <t>Number of technicians</t>
        </is>
      </c>
      <c r="B18" s="24" t="n">
        <v>2</v>
      </c>
      <c r="C18" s="2" t="inlineStr">
        <is>
          <t>Owner may replace one tech</t>
        </is>
      </c>
    </row>
    <row r="19">
      <c r="A19" s="5" t="inlineStr">
        <is>
          <t>Paid hours per tech per month</t>
        </is>
      </c>
      <c r="B19" s="22" t="n">
        <v>173</v>
      </c>
      <c r="C19" s="2" t="inlineStr">
        <is>
          <t>40 hrs × 52 wks / 12</t>
        </is>
      </c>
    </row>
    <row r="20">
      <c r="A20" s="5" t="inlineStr">
        <is>
          <t>Payroll burden (CPP, EI, WorkSafeNB, vacation)</t>
        </is>
      </c>
      <c r="B20" s="25" t="n">
        <v>0.15</v>
      </c>
      <c r="C20" s="2" t="inlineStr">
        <is>
          <t>Estimate</t>
        </is>
      </c>
    </row>
    <row r="21">
      <c r="A21" s="5" t="inlineStr">
        <is>
          <t>Working days per month</t>
        </is>
      </c>
      <c r="B21" s="22" t="n">
        <v>22</v>
      </c>
      <c r="C21" s="2" t="inlineStr"/>
    </row>
    <row r="22">
      <c r="A22" s="5" t="inlineStr">
        <is>
          <t>Balancing attach rate (% of alignments)</t>
        </is>
      </c>
      <c r="B22" s="25" t="n">
        <v>0.4</v>
      </c>
      <c r="C22" s="2" t="inlineStr">
        <is>
          <t>Share of alignment customers also buying balancing</t>
        </is>
      </c>
    </row>
    <row r="23">
      <c r="A23" s="5" t="inlineStr">
        <is>
          <t>Balancing price, 4 wheels ($)</t>
        </is>
      </c>
      <c r="B23" s="21" t="n">
        <v>80</v>
      </c>
      <c r="C23" s="2" t="inlineStr">
        <is>
          <t>NB range ~$60–100</t>
        </is>
      </c>
    </row>
    <row r="24">
      <c r="A24" s="5" t="inlineStr">
        <is>
          <t>Seasonal tire swaps per year at maturity</t>
        </is>
      </c>
      <c r="B24" s="22" t="n">
        <v>900</v>
      </c>
      <c r="C24" s="2" t="inlineStr">
        <is>
          <t>Spring + fall changeovers</t>
        </is>
      </c>
    </row>
    <row r="25">
      <c r="A25" s="5" t="inlineStr">
        <is>
          <t>Tire swap price ($)</t>
        </is>
      </c>
      <c r="B25" s="21" t="n">
        <v>70</v>
      </c>
      <c r="C25" s="2" t="inlineStr">
        <is>
          <t>On-rim swap ~$50–90</t>
        </is>
      </c>
    </row>
    <row r="26">
      <c r="A26" s="5" t="inlineStr">
        <is>
          <t>Tire storage customers at maturity</t>
        </is>
      </c>
      <c r="B26" s="22" t="n">
        <v>250</v>
      </c>
      <c r="C26" s="2" t="inlineStr"/>
    </row>
    <row r="27">
      <c r="A27" s="5" t="inlineStr">
        <is>
          <t>Storage price per season ($)</t>
        </is>
      </c>
      <c r="B27" s="21" t="n">
        <v>80</v>
      </c>
      <c r="C27" s="2" t="inlineStr">
        <is>
          <t>Billed spring and fall</t>
        </is>
      </c>
    </row>
    <row r="28">
      <c r="A28" s="5" t="inlineStr">
        <is>
          <t>Parts &amp; tire sales gross profit / month at maturity ($)</t>
        </is>
      </c>
      <c r="B28" s="21" t="n">
        <v>4000</v>
      </c>
      <c r="C28" s="2" t="inlineStr">
        <is>
          <t>Suspension parts + tire sales, gross profit only</t>
        </is>
      </c>
    </row>
    <row r="29">
      <c r="A29" s="5" t="inlineStr">
        <is>
          <t>Consumables (% of alignment + balancing revenue)</t>
        </is>
      </c>
      <c r="B29" s="25" t="n">
        <v>0.04</v>
      </c>
      <c r="C29" s="2" t="inlineStr">
        <is>
          <t>Weights, valve stems, shims</t>
        </is>
      </c>
    </row>
    <row r="30">
      <c r="A30" s="5" t="inlineStr">
        <is>
          <t>Card / payment fees (% of service revenue)</t>
        </is>
      </c>
      <c r="B30" s="25" t="n">
        <v>0.02</v>
      </c>
      <c r="C30" s="2" t="inlineStr"/>
    </row>
    <row r="31">
      <c r="A31" s="5" t="inlineStr">
        <is>
          <t>Utilities incl. winter heat ($/month)</t>
        </is>
      </c>
      <c r="B31" s="21" t="n">
        <v>1300</v>
      </c>
      <c r="C31" s="2" t="inlineStr"/>
    </row>
    <row r="32">
      <c r="A32" s="5" t="inlineStr">
        <is>
          <t>Garage liability insurance ($/month)</t>
        </is>
      </c>
      <c r="B32" s="21" t="n">
        <v>650</v>
      </c>
      <c r="C32" s="2" t="inlineStr"/>
    </row>
    <row r="33">
      <c r="A33" s="5" t="inlineStr">
        <is>
          <t>Software, phone, internet ($/month)</t>
        </is>
      </c>
      <c r="B33" s="21" t="n">
        <v>400</v>
      </c>
      <c r="C33" s="2" t="inlineStr">
        <is>
          <t>Shop management + alignment database</t>
        </is>
      </c>
    </row>
    <row r="34">
      <c r="A34" s="5" t="inlineStr">
        <is>
          <t>Marketing ($/month)</t>
        </is>
      </c>
      <c r="B34" s="21" t="n">
        <v>700</v>
      </c>
      <c r="C34" s="2" t="inlineStr">
        <is>
          <t>Google ads, reviews, signage</t>
        </is>
      </c>
    </row>
    <row r="35">
      <c r="A35" s="5" t="inlineStr">
        <is>
          <t>Accounting &amp; legal ($/month)</t>
        </is>
      </c>
      <c r="B35" s="21" t="n">
        <v>300</v>
      </c>
      <c r="C35" s="2" t="inlineStr"/>
    </row>
    <row r="36">
      <c r="A36" s="5" t="inlineStr">
        <is>
          <t>Misc., repairs, equipment calibration ($/month)</t>
        </is>
      </c>
      <c r="B36" s="21" t="n">
        <v>400</v>
      </c>
      <c r="C36" s="2" t="inlineStr"/>
    </row>
    <row r="37">
      <c r="A37" s="5" t="inlineStr">
        <is>
          <t>Owner draw ($/month)</t>
        </is>
      </c>
      <c r="B37" s="26" t="n">
        <v>0</v>
      </c>
      <c r="C37" s="2" t="inlineStr">
        <is>
          <t>Set &gt;0 to pay yourself before profit</t>
        </is>
      </c>
    </row>
    <row r="38"/>
    <row r="39">
      <c r="A39" s="3" t="inlineStr">
        <is>
          <t>Financing</t>
        </is>
      </c>
      <c r="B39" s="4" t="n"/>
      <c r="C39" s="4" t="n"/>
      <c r="D39" s="4" t="n"/>
      <c r="E39" s="4" t="n"/>
      <c r="F39" s="4" t="n"/>
    </row>
    <row r="40">
      <c r="A40" s="5" t="inlineStr">
        <is>
          <t>Share of startup cost financed</t>
        </is>
      </c>
      <c r="B40" s="27" t="n">
        <v>0.7</v>
      </c>
      <c r="C40" s="5" t="inlineStr">
        <is>
          <t>CSBFP / BDC / equipment lease</t>
        </is>
      </c>
    </row>
    <row r="41">
      <c r="A41" s="5" t="inlineStr">
        <is>
          <t>Interest rate (annual)</t>
        </is>
      </c>
      <c r="B41" s="25" t="n">
        <v>0.08500000000000001</v>
      </c>
    </row>
    <row r="42">
      <c r="A42" s="5" t="inlineStr">
        <is>
          <t>Loan term (years)</t>
        </is>
      </c>
      <c r="B42" s="22" t="n">
        <v>7</v>
      </c>
    </row>
    <row r="43">
      <c r="A43" s="5" t="inlineStr">
        <is>
          <t>Total startup cost</t>
        </is>
      </c>
      <c r="B43" s="10">
        <f>'Startup Costs'!D14</f>
        <v/>
      </c>
    </row>
    <row r="44">
      <c r="A44" s="5" t="inlineStr">
        <is>
          <t>Loan amount</t>
        </is>
      </c>
      <c r="B44" s="14">
        <f>B43*B40</f>
        <v/>
      </c>
    </row>
    <row r="45">
      <c r="A45" s="5" t="inlineStr">
        <is>
          <t>Monthly loan payment</t>
        </is>
      </c>
      <c r="B45" s="14">
        <f>IF(B44=0,0,IF(B41=0,B44/(B42*12),B44*(B41/12)/(1-(1+B41/12)^(-B42*12))))</f>
        <v/>
      </c>
    </row>
    <row r="46">
      <c r="A46" s="5" t="inlineStr">
        <is>
          <t>Owner equity required</t>
        </is>
      </c>
      <c r="B46" s="14">
        <f>B43-B44</f>
        <v/>
      </c>
    </row>
    <row r="47"/>
    <row r="48">
      <c r="A48" s="3" t="inlineStr">
        <is>
          <t>Ramp-up (alignment &amp; tire volume as % of mature level; Year 1 climbs monthly from Month 1 level to Year 2 level)</t>
        </is>
      </c>
      <c r="B48" s="4" t="n"/>
      <c r="C48" s="4" t="n"/>
      <c r="D48" s="4" t="n"/>
      <c r="E48" s="4" t="n"/>
      <c r="F48" s="4" t="n"/>
    </row>
    <row r="49">
      <c r="A49" s="5" t="inlineStr">
        <is>
          <t>Month 1 (opening)</t>
        </is>
      </c>
      <c r="B49" s="25" t="n">
        <v>0.25</v>
      </c>
    </row>
    <row r="50">
      <c r="A50" s="5" t="inlineStr">
        <is>
          <t>Year 2</t>
        </is>
      </c>
      <c r="B50" s="25" t="n">
        <v>0.85</v>
      </c>
    </row>
    <row r="51">
      <c r="A51" s="5" t="inlineStr">
        <is>
          <t>Year 3</t>
        </is>
      </c>
      <c r="B51" s="25" t="n">
        <v>1</v>
      </c>
    </row>
    <row r="52"/>
    <row r="53">
      <c r="A53" s="3" t="inlineStr">
        <is>
          <t>Seasonality</t>
        </is>
      </c>
      <c r="B53" s="4" t="n"/>
      <c r="C53" s="4" t="n"/>
      <c r="D53" s="4" t="n"/>
      <c r="E53" s="4" t="n"/>
      <c r="F53" s="4" t="n"/>
    </row>
    <row r="54">
      <c r="A54" s="8" t="inlineStr">
        <is>
          <t>Month</t>
        </is>
      </c>
      <c r="B54" s="8" t="inlineStr">
        <is>
          <t>Alignment index (avg = 1.0)</t>
        </is>
      </c>
      <c r="C54" s="8" t="inlineStr">
        <is>
          <t>Tire swap share of year</t>
        </is>
      </c>
      <c r="D54" s="8" t="inlineStr">
        <is>
          <t>Storage billing share</t>
        </is>
      </c>
    </row>
    <row r="55">
      <c r="A55" s="5" t="inlineStr">
        <is>
          <t>Jan</t>
        </is>
      </c>
      <c r="B55" s="28" t="n">
        <v>0.8</v>
      </c>
      <c r="C55" s="25" t="n">
        <v>0</v>
      </c>
      <c r="D55" s="25" t="n">
        <v>0</v>
      </c>
    </row>
    <row r="56">
      <c r="A56" s="5" t="inlineStr">
        <is>
          <t>Feb</t>
        </is>
      </c>
      <c r="B56" s="28" t="n">
        <v>0.8</v>
      </c>
      <c r="C56" s="25" t="n">
        <v>0</v>
      </c>
      <c r="D56" s="25" t="n">
        <v>0</v>
      </c>
    </row>
    <row r="57">
      <c r="A57" s="5" t="inlineStr">
        <is>
          <t>Mar</t>
        </is>
      </c>
      <c r="B57" s="28" t="n">
        <v>1.1</v>
      </c>
      <c r="C57" s="25" t="n">
        <v>0</v>
      </c>
      <c r="D57" s="25" t="n">
        <v>0</v>
      </c>
    </row>
    <row r="58">
      <c r="A58" s="5" t="inlineStr">
        <is>
          <t>Apr</t>
        </is>
      </c>
      <c r="B58" s="28" t="n">
        <v>1.3</v>
      </c>
      <c r="C58" s="25" t="n">
        <v>0.2</v>
      </c>
      <c r="D58" s="25" t="n">
        <v>0</v>
      </c>
    </row>
    <row r="59">
      <c r="A59" s="5" t="inlineStr">
        <is>
          <t>May</t>
        </is>
      </c>
      <c r="B59" s="28" t="n">
        <v>1.3</v>
      </c>
      <c r="C59" s="25" t="n">
        <v>0.25</v>
      </c>
      <c r="D59" s="25" t="n">
        <v>0.5</v>
      </c>
    </row>
    <row r="60">
      <c r="A60" s="5" t="inlineStr">
        <is>
          <t>Jun</t>
        </is>
      </c>
      <c r="B60" s="28" t="n">
        <v>1</v>
      </c>
      <c r="C60" s="25" t="n">
        <v>0</v>
      </c>
      <c r="D60" s="25" t="n">
        <v>0</v>
      </c>
    </row>
    <row r="61">
      <c r="A61" s="5" t="inlineStr">
        <is>
          <t>Jul</t>
        </is>
      </c>
      <c r="B61" s="28" t="n">
        <v>0.9</v>
      </c>
      <c r="C61" s="25" t="n">
        <v>0</v>
      </c>
      <c r="D61" s="25" t="n">
        <v>0</v>
      </c>
    </row>
    <row r="62">
      <c r="A62" s="5" t="inlineStr">
        <is>
          <t>Aug</t>
        </is>
      </c>
      <c r="B62" s="28" t="n">
        <v>0.9</v>
      </c>
      <c r="C62" s="25" t="n">
        <v>0</v>
      </c>
      <c r="D62" s="25" t="n">
        <v>0</v>
      </c>
    </row>
    <row r="63">
      <c r="A63" s="5" t="inlineStr">
        <is>
          <t>Sep</t>
        </is>
      </c>
      <c r="B63" s="28" t="n">
        <v>1</v>
      </c>
      <c r="C63" s="25" t="n">
        <v>0</v>
      </c>
      <c r="D63" s="25" t="n">
        <v>0</v>
      </c>
    </row>
    <row r="64">
      <c r="A64" s="5" t="inlineStr">
        <is>
          <t>Oct</t>
        </is>
      </c>
      <c r="B64" s="28" t="n">
        <v>1.1</v>
      </c>
      <c r="C64" s="25" t="n">
        <v>0.15</v>
      </c>
      <c r="D64" s="25" t="n">
        <v>0</v>
      </c>
    </row>
    <row r="65">
      <c r="A65" s="5" t="inlineStr">
        <is>
          <t>Nov</t>
        </is>
      </c>
      <c r="B65" s="28" t="n">
        <v>1</v>
      </c>
      <c r="C65" s="25" t="n">
        <v>0.3</v>
      </c>
      <c r="D65" s="25" t="n">
        <v>0.5</v>
      </c>
    </row>
    <row r="66">
      <c r="A66" s="5" t="inlineStr">
        <is>
          <t>Dec</t>
        </is>
      </c>
      <c r="B66" s="28" t="n">
        <v>0.8</v>
      </c>
      <c r="C66" s="25" t="n">
        <v>0.1</v>
      </c>
      <c r="D66" s="25" t="n">
        <v>0</v>
      </c>
    </row>
    <row r="67">
      <c r="A67" s="29" t="inlineStr">
        <is>
          <t>Check (should be 12.00 / 100% / 100%)</t>
        </is>
      </c>
      <c r="B67" s="30">
        <f>SUM(B55:B66)</f>
        <v/>
      </c>
      <c r="C67" s="12">
        <f>SUM(C55:C66)</f>
        <v/>
      </c>
      <c r="D67" s="12">
        <f>SUM(D55:D66)</f>
        <v/>
      </c>
    </row>
    <row r="68">
      <c r="A68" s="2" t="inlineStr">
        <is>
          <t>Spring pothole season (Mar–May) and fall changeover drive peaks; Dec–Feb slow.</t>
        </is>
      </c>
    </row>
    <row r="69"/>
    <row r="70">
      <c r="A70" s="2" t="inlineStr">
        <is>
          <t>Example: change B4 to 'Saint John' and B5 to 'Pro' — every sheet updates automatically.</t>
        </is>
      </c>
    </row>
  </sheetData>
  <dataValidations count="3">
    <dataValidation sqref="B4" showDropDown="0" showInputMessage="0" showErrorMessage="0" allowBlank="0" type="list">
      <formula1>"Moncton,Saint John,Fredericton"</formula1>
    </dataValidation>
    <dataValidation sqref="B5" showDropDown="0" showInputMessage="0" showErrorMessage="0" allowBlank="0" type="list">
      <formula1>"Lean,Pro"</formula1>
    </dataValidation>
    <dataValidation sqref="B6" showDropDown="0" showInputMessage="0" showErrorMessage="0" allowBlank="0" type="whole" operator="between">
      <formula1>1</formula1>
      <formula2>12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55" customWidth="1" min="5" max="5"/>
  </cols>
  <sheetData>
    <row r="1">
      <c r="A1" s="1" t="inlineStr">
        <is>
          <t>Startup Costs (CAD)</t>
        </is>
      </c>
    </row>
    <row r="2">
      <c r="A2" s="2" t="inlineStr">
        <is>
          <t>Edit the BLUE Lean/Pro estimates; column D follows the setup level chosen on Inputs!B5.</t>
        </is>
      </c>
    </row>
    <row r="3"/>
    <row r="4">
      <c r="A4" s="8" t="inlineStr">
        <is>
          <t>Item</t>
        </is>
      </c>
      <c r="B4" s="8" t="inlineStr">
        <is>
          <t>Lean ($)</t>
        </is>
      </c>
      <c r="C4" s="8" t="inlineStr">
        <is>
          <t>Pro ($)</t>
        </is>
      </c>
      <c r="D4" s="8" t="inlineStr">
        <is>
          <t>Selected ($)</t>
        </is>
      </c>
      <c r="E4" s="8" t="inlineStr">
        <is>
          <t>Notes</t>
        </is>
      </c>
    </row>
    <row r="5">
      <c r="A5" s="5" t="inlineStr">
        <is>
          <t>Wheel alignment machine</t>
        </is>
      </c>
      <c r="B5" s="21" t="n">
        <v>15000</v>
      </c>
      <c r="C5" s="21" t="n">
        <v>47500</v>
      </c>
      <c r="D5" s="14">
        <f>IF(Inputs!$B$5="Pro",C5,B5)</f>
        <v/>
      </c>
      <c r="E5" s="2" t="inlineStr">
        <is>
          <t>Lean: budget 3D/CCD; Pro: Hunter / John Bean 3D</t>
        </is>
      </c>
    </row>
    <row r="6">
      <c r="A6" s="5" t="inlineStr">
        <is>
          <t>Alignment lift (4-post or scissor)</t>
        </is>
      </c>
      <c r="B6" s="21" t="n">
        <v>12500</v>
      </c>
      <c r="C6" s="21" t="n">
        <v>24000</v>
      </c>
      <c r="D6" s="14">
        <f>IF(Inputs!$B$5="Pro",C6,B6)</f>
        <v/>
      </c>
      <c r="E6" s="2" t="inlineStr"/>
    </row>
    <row r="7">
      <c r="A7" s="5" t="inlineStr">
        <is>
          <t>Wheel balancer</t>
        </is>
      </c>
      <c r="B7" s="21" t="n">
        <v>5000</v>
      </c>
      <c r="C7" s="21" t="n">
        <v>11500</v>
      </c>
      <c r="D7" s="14">
        <f>IF(Inputs!$B$5="Pro",C7,B7)</f>
        <v/>
      </c>
      <c r="E7" s="2" t="inlineStr">
        <is>
          <t>Pro: road-force balancer</t>
        </is>
      </c>
    </row>
    <row r="8">
      <c r="A8" s="5" t="inlineStr">
        <is>
          <t>Tire changer</t>
        </is>
      </c>
      <c r="B8" s="21" t="n">
        <v>5000</v>
      </c>
      <c r="C8" s="21" t="n">
        <v>11500</v>
      </c>
      <c r="D8" s="14">
        <f>IF(Inputs!$B$5="Pro",C8,B8)</f>
        <v/>
      </c>
      <c r="E8" s="2" t="inlineStr"/>
    </row>
    <row r="9">
      <c r="A9" s="5" t="inlineStr">
        <is>
          <t>Compressor, air lines, tools, impact guns</t>
        </is>
      </c>
      <c r="B9" s="21" t="n">
        <v>6500</v>
      </c>
      <c r="C9" s="21" t="n">
        <v>15000</v>
      </c>
      <c r="D9" s="14">
        <f>IF(Inputs!$B$5="Pro",C9,B9)</f>
        <v/>
      </c>
      <c r="E9" s="2" t="inlineStr"/>
    </row>
    <row r="10">
      <c r="A10" s="5" t="inlineStr">
        <is>
          <t>ADAS calibration kit</t>
        </is>
      </c>
      <c r="B10" s="21" t="n">
        <v>0</v>
      </c>
      <c r="C10" s="21" t="n">
        <v>30000</v>
      </c>
      <c r="D10" s="14">
        <f>IF(Inputs!$B$5="Pro",C10,B10)</f>
        <v/>
      </c>
      <c r="E10" s="2" t="inlineStr">
        <is>
          <t>Optional; high-value add-on for newer vehicles</t>
        </is>
      </c>
    </row>
    <row r="11">
      <c r="A11" s="5" t="inlineStr">
        <is>
          <t>Leasehold improvements, signage, computer &amp; software</t>
        </is>
      </c>
      <c r="B11" s="21" t="n">
        <v>14000</v>
      </c>
      <c r="C11" s="21" t="n">
        <v>42500</v>
      </c>
      <c r="D11" s="14">
        <f>IF(Inputs!$B$5="Pro",C11,B11)</f>
        <v/>
      </c>
      <c r="E11" s="2" t="inlineStr"/>
    </row>
    <row r="12">
      <c r="A12" s="5" t="inlineStr">
        <is>
          <t>Rent deposit, insurance, permits, launch marketing</t>
        </is>
      </c>
      <c r="B12" s="21" t="n">
        <v>7500</v>
      </c>
      <c r="C12" s="21" t="n">
        <v>15000</v>
      </c>
      <c r="D12" s="14">
        <f>IF(Inputs!$B$5="Pro",C12,B12)</f>
        <v/>
      </c>
      <c r="E12" s="2" t="inlineStr"/>
    </row>
    <row r="13">
      <c r="A13" s="5" t="inlineStr">
        <is>
          <t>Working capital (≈3 months)</t>
        </is>
      </c>
      <c r="B13" s="21" t="n">
        <v>20000</v>
      </c>
      <c r="C13" s="21" t="n">
        <v>45000</v>
      </c>
      <c r="D13" s="14">
        <f>IF(Inputs!$B$5="Pro",C13,B13)</f>
        <v/>
      </c>
      <c r="E13" s="2" t="inlineStr">
        <is>
          <t>Cash buffer during ramp-up</t>
        </is>
      </c>
    </row>
    <row r="14">
      <c r="A14" s="11" t="inlineStr">
        <is>
          <t>Total startup cost</t>
        </is>
      </c>
      <c r="B14" s="31">
        <f>SUM(B5:B13)</f>
        <v/>
      </c>
      <c r="C14" s="31">
        <f>SUM(C5:C13)</f>
        <v/>
      </c>
      <c r="D14" s="31">
        <f>SUM(D5:D13)</f>
        <v/>
      </c>
    </row>
    <row r="15"/>
    <row r="16">
      <c r="A16" s="2" t="inlineStr">
        <is>
          <t>Buying used equipment or taking over an existing garage can cut costs 30–50%.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36-Month Projection (CAD)</t>
        </is>
      </c>
    </row>
    <row r="2">
      <c r="A2" s="2" t="inlineStr">
        <is>
          <t>All formulas — driven by Inputs. Parts &amp; tire sales are shown as gross profit.</t>
        </is>
      </c>
    </row>
    <row r="3"/>
    <row r="4" ht="42" customHeight="1">
      <c r="A4" s="8" t="inlineStr">
        <is>
          <t>Month #</t>
        </is>
      </c>
      <c r="B4" s="8" t="inlineStr">
        <is>
          <t>Year of operation</t>
        </is>
      </c>
      <c r="C4" s="8" t="inlineStr">
        <is>
          <t>Cal. month #</t>
        </is>
      </c>
      <c r="D4" s="8" t="inlineStr">
        <is>
          <t>Month</t>
        </is>
      </c>
      <c r="E4" s="8" t="inlineStr">
        <is>
          <t>Ramp %</t>
        </is>
      </c>
      <c r="F4" s="8" t="inlineStr">
        <is>
          <t>Season index</t>
        </is>
      </c>
      <c r="G4" s="8" t="inlineStr">
        <is>
          <t>Alignments</t>
        </is>
      </c>
      <c r="H4" s="8" t="inlineStr">
        <is>
          <t>Alignment revenue</t>
        </is>
      </c>
      <c r="I4" s="8" t="inlineStr">
        <is>
          <t>Balancing revenue</t>
        </is>
      </c>
      <c r="J4" s="8" t="inlineStr">
        <is>
          <t>Tire swap revenue</t>
        </is>
      </c>
      <c r="K4" s="8" t="inlineStr">
        <is>
          <t>Storage revenue</t>
        </is>
      </c>
      <c r="L4" s="8" t="inlineStr">
        <is>
          <t>Parts &amp; tire GP</t>
        </is>
      </c>
      <c r="M4" s="8" t="inlineStr">
        <is>
          <t>Total revenue &amp; GP</t>
        </is>
      </c>
      <c r="N4" s="8" t="inlineStr">
        <is>
          <t>Consumables</t>
        </is>
      </c>
      <c r="O4" s="8" t="inlineStr">
        <is>
          <t>Card fees</t>
        </is>
      </c>
      <c r="P4" s="8" t="inlineStr">
        <is>
          <t>Rent</t>
        </is>
      </c>
      <c r="Q4" s="8" t="inlineStr">
        <is>
          <t>Wages</t>
        </is>
      </c>
      <c r="R4" s="8" t="inlineStr">
        <is>
          <t>Other fixed</t>
        </is>
      </c>
      <c r="S4" s="8" t="inlineStr">
        <is>
          <t>Loan payment</t>
        </is>
      </c>
      <c r="T4" s="8" t="inlineStr">
        <is>
          <t>Owner draw</t>
        </is>
      </c>
      <c r="U4" s="8" t="inlineStr">
        <is>
          <t>Total costs</t>
        </is>
      </c>
      <c r="V4" s="8" t="inlineStr">
        <is>
          <t>Net profit (pre-tax)</t>
        </is>
      </c>
      <c r="W4" s="8" t="inlineStr">
        <is>
          <t>Cumulative net</t>
        </is>
      </c>
      <c r="X4" s="8" t="inlineStr">
        <is>
          <t>Payback flag</t>
        </is>
      </c>
    </row>
    <row r="5">
      <c r="A5" s="5" t="n">
        <v>1</v>
      </c>
      <c r="B5" s="5">
        <f>INT((A5-1)/12)+1</f>
        <v/>
      </c>
      <c r="C5" s="5">
        <f>MOD(Inputs!$B$6-1+A5-1,12)+1</f>
        <v/>
      </c>
      <c r="D5" s="5">
        <f>INDEX(Inputs!$A$55:$A$66,C5)</f>
        <v/>
      </c>
      <c r="E5" s="12">
        <f>IF(B5=1,Inputs!$B$49+(Inputs!$B$50-Inputs!$B$49)*(A5-1)/12,INDEX(Inputs!$B$49:$B$51,B5))</f>
        <v/>
      </c>
      <c r="F5" s="30">
        <f>INDEX(Inputs!$B$55:$B$66,C5)</f>
        <v/>
      </c>
      <c r="G5" s="32">
        <f>Inputs!$E$13*Inputs!$B$21*E5*F5</f>
        <v/>
      </c>
      <c r="H5" s="14">
        <f>G5*Inputs!$E$12</f>
        <v/>
      </c>
      <c r="I5" s="14">
        <f>G5*Inputs!$B$22*Inputs!$B$23</f>
        <v/>
      </c>
      <c r="J5" s="14">
        <f>Inputs!$B$24*E5*INDEX(Inputs!$C$55:$C$66,C5)*Inputs!$B$25</f>
        <v/>
      </c>
      <c r="K5" s="14">
        <f>Inputs!$B$26*E5*INDEX(Inputs!$D$55:$D$66,C5)*Inputs!$B$27*2</f>
        <v/>
      </c>
      <c r="L5" s="14">
        <f>Inputs!$B$28*E5*F5</f>
        <v/>
      </c>
      <c r="M5" s="13">
        <f>SUM(H5:L5)</f>
        <v/>
      </c>
      <c r="N5" s="14">
        <f>(H5+I5)*Inputs!$B$29</f>
        <v/>
      </c>
      <c r="O5" s="14">
        <f>SUM(H5:K5)*Inputs!$B$30</f>
        <v/>
      </c>
      <c r="P5" s="14">
        <f>Inputs!$B$17*Inputs!$E$10/12</f>
        <v/>
      </c>
      <c r="Q5" s="14">
        <f>Inputs!$B$18*Inputs!$B$19*Inputs!$E$11*(1+Inputs!$B$20)</f>
        <v/>
      </c>
      <c r="R5" s="14">
        <f>SUM(Inputs!$B$31:$B$36)</f>
        <v/>
      </c>
      <c r="S5" s="14">
        <f>Inputs!$B$45</f>
        <v/>
      </c>
      <c r="T5" s="14">
        <f>Inputs!$B$37</f>
        <v/>
      </c>
      <c r="U5" s="13">
        <f>SUM(N5:T5)</f>
        <v/>
      </c>
      <c r="V5" s="13">
        <f>M5-U5</f>
        <v/>
      </c>
      <c r="W5" s="14">
        <f>V5</f>
        <v/>
      </c>
      <c r="X5" s="5">
        <f>IF(W5&gt;=Inputs!$B$46,A5,"")</f>
        <v/>
      </c>
    </row>
    <row r="6">
      <c r="A6" s="5" t="n">
        <v>2</v>
      </c>
      <c r="B6" s="5">
        <f>INT((A6-1)/12)+1</f>
        <v/>
      </c>
      <c r="C6" s="5">
        <f>MOD(Inputs!$B$6-1+A6-1,12)+1</f>
        <v/>
      </c>
      <c r="D6" s="5">
        <f>INDEX(Inputs!$A$55:$A$66,C6)</f>
        <v/>
      </c>
      <c r="E6" s="12">
        <f>IF(B6=1,Inputs!$B$49+(Inputs!$B$50-Inputs!$B$49)*(A6-1)/12,INDEX(Inputs!$B$49:$B$51,B6))</f>
        <v/>
      </c>
      <c r="F6" s="30">
        <f>INDEX(Inputs!$B$55:$B$66,C6)</f>
        <v/>
      </c>
      <c r="G6" s="32">
        <f>Inputs!$E$13*Inputs!$B$21*E6*F6</f>
        <v/>
      </c>
      <c r="H6" s="14">
        <f>G6*Inputs!$E$12</f>
        <v/>
      </c>
      <c r="I6" s="14">
        <f>G6*Inputs!$B$22*Inputs!$B$23</f>
        <v/>
      </c>
      <c r="J6" s="14">
        <f>Inputs!$B$24*E6*INDEX(Inputs!$C$55:$C$66,C6)*Inputs!$B$25</f>
        <v/>
      </c>
      <c r="K6" s="14">
        <f>Inputs!$B$26*E6*INDEX(Inputs!$D$55:$D$66,C6)*Inputs!$B$27*2</f>
        <v/>
      </c>
      <c r="L6" s="14">
        <f>Inputs!$B$28*E6*F6</f>
        <v/>
      </c>
      <c r="M6" s="13">
        <f>SUM(H6:L6)</f>
        <v/>
      </c>
      <c r="N6" s="14">
        <f>(H6+I6)*Inputs!$B$29</f>
        <v/>
      </c>
      <c r="O6" s="14">
        <f>SUM(H6:K6)*Inputs!$B$30</f>
        <v/>
      </c>
      <c r="P6" s="14">
        <f>Inputs!$B$17*Inputs!$E$10/12</f>
        <v/>
      </c>
      <c r="Q6" s="14">
        <f>Inputs!$B$18*Inputs!$B$19*Inputs!$E$11*(1+Inputs!$B$20)</f>
        <v/>
      </c>
      <c r="R6" s="14">
        <f>SUM(Inputs!$B$31:$B$36)</f>
        <v/>
      </c>
      <c r="S6" s="14">
        <f>Inputs!$B$45</f>
        <v/>
      </c>
      <c r="T6" s="14">
        <f>Inputs!$B$37</f>
        <v/>
      </c>
      <c r="U6" s="13">
        <f>SUM(N6:T6)</f>
        <v/>
      </c>
      <c r="V6" s="13">
        <f>M6-U6</f>
        <v/>
      </c>
      <c r="W6" s="14">
        <f>W5+V6</f>
        <v/>
      </c>
      <c r="X6" s="5">
        <f>IF(W6&gt;=Inputs!$B$46,A6,"")</f>
        <v/>
      </c>
    </row>
    <row r="7">
      <c r="A7" s="5" t="n">
        <v>3</v>
      </c>
      <c r="B7" s="5">
        <f>INT((A7-1)/12)+1</f>
        <v/>
      </c>
      <c r="C7" s="5">
        <f>MOD(Inputs!$B$6-1+A7-1,12)+1</f>
        <v/>
      </c>
      <c r="D7" s="5">
        <f>INDEX(Inputs!$A$55:$A$66,C7)</f>
        <v/>
      </c>
      <c r="E7" s="12">
        <f>IF(B7=1,Inputs!$B$49+(Inputs!$B$50-Inputs!$B$49)*(A7-1)/12,INDEX(Inputs!$B$49:$B$51,B7))</f>
        <v/>
      </c>
      <c r="F7" s="30">
        <f>INDEX(Inputs!$B$55:$B$66,C7)</f>
        <v/>
      </c>
      <c r="G7" s="32">
        <f>Inputs!$E$13*Inputs!$B$21*E7*F7</f>
        <v/>
      </c>
      <c r="H7" s="14">
        <f>G7*Inputs!$E$12</f>
        <v/>
      </c>
      <c r="I7" s="14">
        <f>G7*Inputs!$B$22*Inputs!$B$23</f>
        <v/>
      </c>
      <c r="J7" s="14">
        <f>Inputs!$B$24*E7*INDEX(Inputs!$C$55:$C$66,C7)*Inputs!$B$25</f>
        <v/>
      </c>
      <c r="K7" s="14">
        <f>Inputs!$B$26*E7*INDEX(Inputs!$D$55:$D$66,C7)*Inputs!$B$27*2</f>
        <v/>
      </c>
      <c r="L7" s="14">
        <f>Inputs!$B$28*E7*F7</f>
        <v/>
      </c>
      <c r="M7" s="13">
        <f>SUM(H7:L7)</f>
        <v/>
      </c>
      <c r="N7" s="14">
        <f>(H7+I7)*Inputs!$B$29</f>
        <v/>
      </c>
      <c r="O7" s="14">
        <f>SUM(H7:K7)*Inputs!$B$30</f>
        <v/>
      </c>
      <c r="P7" s="14">
        <f>Inputs!$B$17*Inputs!$E$10/12</f>
        <v/>
      </c>
      <c r="Q7" s="14">
        <f>Inputs!$B$18*Inputs!$B$19*Inputs!$E$11*(1+Inputs!$B$20)</f>
        <v/>
      </c>
      <c r="R7" s="14">
        <f>SUM(Inputs!$B$31:$B$36)</f>
        <v/>
      </c>
      <c r="S7" s="14">
        <f>Inputs!$B$45</f>
        <v/>
      </c>
      <c r="T7" s="14">
        <f>Inputs!$B$37</f>
        <v/>
      </c>
      <c r="U7" s="13">
        <f>SUM(N7:T7)</f>
        <v/>
      </c>
      <c r="V7" s="13">
        <f>M7-U7</f>
        <v/>
      </c>
      <c r="W7" s="14">
        <f>W6+V7</f>
        <v/>
      </c>
      <c r="X7" s="5">
        <f>IF(W7&gt;=Inputs!$B$46,A7,"")</f>
        <v/>
      </c>
    </row>
    <row r="8">
      <c r="A8" s="5" t="n">
        <v>4</v>
      </c>
      <c r="B8" s="5">
        <f>INT((A8-1)/12)+1</f>
        <v/>
      </c>
      <c r="C8" s="5">
        <f>MOD(Inputs!$B$6-1+A8-1,12)+1</f>
        <v/>
      </c>
      <c r="D8" s="5">
        <f>INDEX(Inputs!$A$55:$A$66,C8)</f>
        <v/>
      </c>
      <c r="E8" s="12">
        <f>IF(B8=1,Inputs!$B$49+(Inputs!$B$50-Inputs!$B$49)*(A8-1)/12,INDEX(Inputs!$B$49:$B$51,B8))</f>
        <v/>
      </c>
      <c r="F8" s="30">
        <f>INDEX(Inputs!$B$55:$B$66,C8)</f>
        <v/>
      </c>
      <c r="G8" s="32">
        <f>Inputs!$E$13*Inputs!$B$21*E8*F8</f>
        <v/>
      </c>
      <c r="H8" s="14">
        <f>G8*Inputs!$E$12</f>
        <v/>
      </c>
      <c r="I8" s="14">
        <f>G8*Inputs!$B$22*Inputs!$B$23</f>
        <v/>
      </c>
      <c r="J8" s="14">
        <f>Inputs!$B$24*E8*INDEX(Inputs!$C$55:$C$66,C8)*Inputs!$B$25</f>
        <v/>
      </c>
      <c r="K8" s="14">
        <f>Inputs!$B$26*E8*INDEX(Inputs!$D$55:$D$66,C8)*Inputs!$B$27*2</f>
        <v/>
      </c>
      <c r="L8" s="14">
        <f>Inputs!$B$28*E8*F8</f>
        <v/>
      </c>
      <c r="M8" s="13">
        <f>SUM(H8:L8)</f>
        <v/>
      </c>
      <c r="N8" s="14">
        <f>(H8+I8)*Inputs!$B$29</f>
        <v/>
      </c>
      <c r="O8" s="14">
        <f>SUM(H8:K8)*Inputs!$B$30</f>
        <v/>
      </c>
      <c r="P8" s="14">
        <f>Inputs!$B$17*Inputs!$E$10/12</f>
        <v/>
      </c>
      <c r="Q8" s="14">
        <f>Inputs!$B$18*Inputs!$B$19*Inputs!$E$11*(1+Inputs!$B$20)</f>
        <v/>
      </c>
      <c r="R8" s="14">
        <f>SUM(Inputs!$B$31:$B$36)</f>
        <v/>
      </c>
      <c r="S8" s="14">
        <f>Inputs!$B$45</f>
        <v/>
      </c>
      <c r="T8" s="14">
        <f>Inputs!$B$37</f>
        <v/>
      </c>
      <c r="U8" s="13">
        <f>SUM(N8:T8)</f>
        <v/>
      </c>
      <c r="V8" s="13">
        <f>M8-U8</f>
        <v/>
      </c>
      <c r="W8" s="14">
        <f>W7+V8</f>
        <v/>
      </c>
      <c r="X8" s="5">
        <f>IF(W8&gt;=Inputs!$B$46,A8,"")</f>
        <v/>
      </c>
    </row>
    <row r="9">
      <c r="A9" s="5" t="n">
        <v>5</v>
      </c>
      <c r="B9" s="5">
        <f>INT((A9-1)/12)+1</f>
        <v/>
      </c>
      <c r="C9" s="5">
        <f>MOD(Inputs!$B$6-1+A9-1,12)+1</f>
        <v/>
      </c>
      <c r="D9" s="5">
        <f>INDEX(Inputs!$A$55:$A$66,C9)</f>
        <v/>
      </c>
      <c r="E9" s="12">
        <f>IF(B9=1,Inputs!$B$49+(Inputs!$B$50-Inputs!$B$49)*(A9-1)/12,INDEX(Inputs!$B$49:$B$51,B9))</f>
        <v/>
      </c>
      <c r="F9" s="30">
        <f>INDEX(Inputs!$B$55:$B$66,C9)</f>
        <v/>
      </c>
      <c r="G9" s="32">
        <f>Inputs!$E$13*Inputs!$B$21*E9*F9</f>
        <v/>
      </c>
      <c r="H9" s="14">
        <f>G9*Inputs!$E$12</f>
        <v/>
      </c>
      <c r="I9" s="14">
        <f>G9*Inputs!$B$22*Inputs!$B$23</f>
        <v/>
      </c>
      <c r="J9" s="14">
        <f>Inputs!$B$24*E9*INDEX(Inputs!$C$55:$C$66,C9)*Inputs!$B$25</f>
        <v/>
      </c>
      <c r="K9" s="14">
        <f>Inputs!$B$26*E9*INDEX(Inputs!$D$55:$D$66,C9)*Inputs!$B$27*2</f>
        <v/>
      </c>
      <c r="L9" s="14">
        <f>Inputs!$B$28*E9*F9</f>
        <v/>
      </c>
      <c r="M9" s="13">
        <f>SUM(H9:L9)</f>
        <v/>
      </c>
      <c r="N9" s="14">
        <f>(H9+I9)*Inputs!$B$29</f>
        <v/>
      </c>
      <c r="O9" s="14">
        <f>SUM(H9:K9)*Inputs!$B$30</f>
        <v/>
      </c>
      <c r="P9" s="14">
        <f>Inputs!$B$17*Inputs!$E$10/12</f>
        <v/>
      </c>
      <c r="Q9" s="14">
        <f>Inputs!$B$18*Inputs!$B$19*Inputs!$E$11*(1+Inputs!$B$20)</f>
        <v/>
      </c>
      <c r="R9" s="14">
        <f>SUM(Inputs!$B$31:$B$36)</f>
        <v/>
      </c>
      <c r="S9" s="14">
        <f>Inputs!$B$45</f>
        <v/>
      </c>
      <c r="T9" s="14">
        <f>Inputs!$B$37</f>
        <v/>
      </c>
      <c r="U9" s="13">
        <f>SUM(N9:T9)</f>
        <v/>
      </c>
      <c r="V9" s="13">
        <f>M9-U9</f>
        <v/>
      </c>
      <c r="W9" s="14">
        <f>W8+V9</f>
        <v/>
      </c>
      <c r="X9" s="5">
        <f>IF(W9&gt;=Inputs!$B$46,A9,"")</f>
        <v/>
      </c>
    </row>
    <row r="10">
      <c r="A10" s="5" t="n">
        <v>6</v>
      </c>
      <c r="B10" s="5">
        <f>INT((A10-1)/12)+1</f>
        <v/>
      </c>
      <c r="C10" s="5">
        <f>MOD(Inputs!$B$6-1+A10-1,12)+1</f>
        <v/>
      </c>
      <c r="D10" s="5">
        <f>INDEX(Inputs!$A$55:$A$66,C10)</f>
        <v/>
      </c>
      <c r="E10" s="12">
        <f>IF(B10=1,Inputs!$B$49+(Inputs!$B$50-Inputs!$B$49)*(A10-1)/12,INDEX(Inputs!$B$49:$B$51,B10))</f>
        <v/>
      </c>
      <c r="F10" s="30">
        <f>INDEX(Inputs!$B$55:$B$66,C10)</f>
        <v/>
      </c>
      <c r="G10" s="32">
        <f>Inputs!$E$13*Inputs!$B$21*E10*F10</f>
        <v/>
      </c>
      <c r="H10" s="14">
        <f>G10*Inputs!$E$12</f>
        <v/>
      </c>
      <c r="I10" s="14">
        <f>G10*Inputs!$B$22*Inputs!$B$23</f>
        <v/>
      </c>
      <c r="J10" s="14">
        <f>Inputs!$B$24*E10*INDEX(Inputs!$C$55:$C$66,C10)*Inputs!$B$25</f>
        <v/>
      </c>
      <c r="K10" s="14">
        <f>Inputs!$B$26*E10*INDEX(Inputs!$D$55:$D$66,C10)*Inputs!$B$27*2</f>
        <v/>
      </c>
      <c r="L10" s="14">
        <f>Inputs!$B$28*E10*F10</f>
        <v/>
      </c>
      <c r="M10" s="13">
        <f>SUM(H10:L10)</f>
        <v/>
      </c>
      <c r="N10" s="14">
        <f>(H10+I10)*Inputs!$B$29</f>
        <v/>
      </c>
      <c r="O10" s="14">
        <f>SUM(H10:K10)*Inputs!$B$30</f>
        <v/>
      </c>
      <c r="P10" s="14">
        <f>Inputs!$B$17*Inputs!$E$10/12</f>
        <v/>
      </c>
      <c r="Q10" s="14">
        <f>Inputs!$B$18*Inputs!$B$19*Inputs!$E$11*(1+Inputs!$B$20)</f>
        <v/>
      </c>
      <c r="R10" s="14">
        <f>SUM(Inputs!$B$31:$B$36)</f>
        <v/>
      </c>
      <c r="S10" s="14">
        <f>Inputs!$B$45</f>
        <v/>
      </c>
      <c r="T10" s="14">
        <f>Inputs!$B$37</f>
        <v/>
      </c>
      <c r="U10" s="13">
        <f>SUM(N10:T10)</f>
        <v/>
      </c>
      <c r="V10" s="13">
        <f>M10-U10</f>
        <v/>
      </c>
      <c r="W10" s="14">
        <f>W9+V10</f>
        <v/>
      </c>
      <c r="X10" s="5">
        <f>IF(W10&gt;=Inputs!$B$46,A10,"")</f>
        <v/>
      </c>
    </row>
    <row r="11">
      <c r="A11" s="5" t="n">
        <v>7</v>
      </c>
      <c r="B11" s="5">
        <f>INT((A11-1)/12)+1</f>
        <v/>
      </c>
      <c r="C11" s="5">
        <f>MOD(Inputs!$B$6-1+A11-1,12)+1</f>
        <v/>
      </c>
      <c r="D11" s="5">
        <f>INDEX(Inputs!$A$55:$A$66,C11)</f>
        <v/>
      </c>
      <c r="E11" s="12">
        <f>IF(B11=1,Inputs!$B$49+(Inputs!$B$50-Inputs!$B$49)*(A11-1)/12,INDEX(Inputs!$B$49:$B$51,B11))</f>
        <v/>
      </c>
      <c r="F11" s="30">
        <f>INDEX(Inputs!$B$55:$B$66,C11)</f>
        <v/>
      </c>
      <c r="G11" s="32">
        <f>Inputs!$E$13*Inputs!$B$21*E11*F11</f>
        <v/>
      </c>
      <c r="H11" s="14">
        <f>G11*Inputs!$E$12</f>
        <v/>
      </c>
      <c r="I11" s="14">
        <f>G11*Inputs!$B$22*Inputs!$B$23</f>
        <v/>
      </c>
      <c r="J11" s="14">
        <f>Inputs!$B$24*E11*INDEX(Inputs!$C$55:$C$66,C11)*Inputs!$B$25</f>
        <v/>
      </c>
      <c r="K11" s="14">
        <f>Inputs!$B$26*E11*INDEX(Inputs!$D$55:$D$66,C11)*Inputs!$B$27*2</f>
        <v/>
      </c>
      <c r="L11" s="14">
        <f>Inputs!$B$28*E11*F11</f>
        <v/>
      </c>
      <c r="M11" s="13">
        <f>SUM(H11:L11)</f>
        <v/>
      </c>
      <c r="N11" s="14">
        <f>(H11+I11)*Inputs!$B$29</f>
        <v/>
      </c>
      <c r="O11" s="14">
        <f>SUM(H11:K11)*Inputs!$B$30</f>
        <v/>
      </c>
      <c r="P11" s="14">
        <f>Inputs!$B$17*Inputs!$E$10/12</f>
        <v/>
      </c>
      <c r="Q11" s="14">
        <f>Inputs!$B$18*Inputs!$B$19*Inputs!$E$11*(1+Inputs!$B$20)</f>
        <v/>
      </c>
      <c r="R11" s="14">
        <f>SUM(Inputs!$B$31:$B$36)</f>
        <v/>
      </c>
      <c r="S11" s="14">
        <f>Inputs!$B$45</f>
        <v/>
      </c>
      <c r="T11" s="14">
        <f>Inputs!$B$37</f>
        <v/>
      </c>
      <c r="U11" s="13">
        <f>SUM(N11:T11)</f>
        <v/>
      </c>
      <c r="V11" s="13">
        <f>M11-U11</f>
        <v/>
      </c>
      <c r="W11" s="14">
        <f>W10+V11</f>
        <v/>
      </c>
      <c r="X11" s="5">
        <f>IF(W11&gt;=Inputs!$B$46,A11,"")</f>
        <v/>
      </c>
    </row>
    <row r="12">
      <c r="A12" s="5" t="n">
        <v>8</v>
      </c>
      <c r="B12" s="5">
        <f>INT((A12-1)/12)+1</f>
        <v/>
      </c>
      <c r="C12" s="5">
        <f>MOD(Inputs!$B$6-1+A12-1,12)+1</f>
        <v/>
      </c>
      <c r="D12" s="5">
        <f>INDEX(Inputs!$A$55:$A$66,C12)</f>
        <v/>
      </c>
      <c r="E12" s="12">
        <f>IF(B12=1,Inputs!$B$49+(Inputs!$B$50-Inputs!$B$49)*(A12-1)/12,INDEX(Inputs!$B$49:$B$51,B12))</f>
        <v/>
      </c>
      <c r="F12" s="30">
        <f>INDEX(Inputs!$B$55:$B$66,C12)</f>
        <v/>
      </c>
      <c r="G12" s="32">
        <f>Inputs!$E$13*Inputs!$B$21*E12*F12</f>
        <v/>
      </c>
      <c r="H12" s="14">
        <f>G12*Inputs!$E$12</f>
        <v/>
      </c>
      <c r="I12" s="14">
        <f>G12*Inputs!$B$22*Inputs!$B$23</f>
        <v/>
      </c>
      <c r="J12" s="14">
        <f>Inputs!$B$24*E12*INDEX(Inputs!$C$55:$C$66,C12)*Inputs!$B$25</f>
        <v/>
      </c>
      <c r="K12" s="14">
        <f>Inputs!$B$26*E12*INDEX(Inputs!$D$55:$D$66,C12)*Inputs!$B$27*2</f>
        <v/>
      </c>
      <c r="L12" s="14">
        <f>Inputs!$B$28*E12*F12</f>
        <v/>
      </c>
      <c r="M12" s="13">
        <f>SUM(H12:L12)</f>
        <v/>
      </c>
      <c r="N12" s="14">
        <f>(H12+I12)*Inputs!$B$29</f>
        <v/>
      </c>
      <c r="O12" s="14">
        <f>SUM(H12:K12)*Inputs!$B$30</f>
        <v/>
      </c>
      <c r="P12" s="14">
        <f>Inputs!$B$17*Inputs!$E$10/12</f>
        <v/>
      </c>
      <c r="Q12" s="14">
        <f>Inputs!$B$18*Inputs!$B$19*Inputs!$E$11*(1+Inputs!$B$20)</f>
        <v/>
      </c>
      <c r="R12" s="14">
        <f>SUM(Inputs!$B$31:$B$36)</f>
        <v/>
      </c>
      <c r="S12" s="14">
        <f>Inputs!$B$45</f>
        <v/>
      </c>
      <c r="T12" s="14">
        <f>Inputs!$B$37</f>
        <v/>
      </c>
      <c r="U12" s="13">
        <f>SUM(N12:T12)</f>
        <v/>
      </c>
      <c r="V12" s="13">
        <f>M12-U12</f>
        <v/>
      </c>
      <c r="W12" s="14">
        <f>W11+V12</f>
        <v/>
      </c>
      <c r="X12" s="5">
        <f>IF(W12&gt;=Inputs!$B$46,A12,"")</f>
        <v/>
      </c>
    </row>
    <row r="13">
      <c r="A13" s="5" t="n">
        <v>9</v>
      </c>
      <c r="B13" s="5">
        <f>INT((A13-1)/12)+1</f>
        <v/>
      </c>
      <c r="C13" s="5">
        <f>MOD(Inputs!$B$6-1+A13-1,12)+1</f>
        <v/>
      </c>
      <c r="D13" s="5">
        <f>INDEX(Inputs!$A$55:$A$66,C13)</f>
        <v/>
      </c>
      <c r="E13" s="12">
        <f>IF(B13=1,Inputs!$B$49+(Inputs!$B$50-Inputs!$B$49)*(A13-1)/12,INDEX(Inputs!$B$49:$B$51,B13))</f>
        <v/>
      </c>
      <c r="F13" s="30">
        <f>INDEX(Inputs!$B$55:$B$66,C13)</f>
        <v/>
      </c>
      <c r="G13" s="32">
        <f>Inputs!$E$13*Inputs!$B$21*E13*F13</f>
        <v/>
      </c>
      <c r="H13" s="14">
        <f>G13*Inputs!$E$12</f>
        <v/>
      </c>
      <c r="I13" s="14">
        <f>G13*Inputs!$B$22*Inputs!$B$23</f>
        <v/>
      </c>
      <c r="J13" s="14">
        <f>Inputs!$B$24*E13*INDEX(Inputs!$C$55:$C$66,C13)*Inputs!$B$25</f>
        <v/>
      </c>
      <c r="K13" s="14">
        <f>Inputs!$B$26*E13*INDEX(Inputs!$D$55:$D$66,C13)*Inputs!$B$27*2</f>
        <v/>
      </c>
      <c r="L13" s="14">
        <f>Inputs!$B$28*E13*F13</f>
        <v/>
      </c>
      <c r="M13" s="13">
        <f>SUM(H13:L13)</f>
        <v/>
      </c>
      <c r="N13" s="14">
        <f>(H13+I13)*Inputs!$B$29</f>
        <v/>
      </c>
      <c r="O13" s="14">
        <f>SUM(H13:K13)*Inputs!$B$30</f>
        <v/>
      </c>
      <c r="P13" s="14">
        <f>Inputs!$B$17*Inputs!$E$10/12</f>
        <v/>
      </c>
      <c r="Q13" s="14">
        <f>Inputs!$B$18*Inputs!$B$19*Inputs!$E$11*(1+Inputs!$B$20)</f>
        <v/>
      </c>
      <c r="R13" s="14">
        <f>SUM(Inputs!$B$31:$B$36)</f>
        <v/>
      </c>
      <c r="S13" s="14">
        <f>Inputs!$B$45</f>
        <v/>
      </c>
      <c r="T13" s="14">
        <f>Inputs!$B$37</f>
        <v/>
      </c>
      <c r="U13" s="13">
        <f>SUM(N13:T13)</f>
        <v/>
      </c>
      <c r="V13" s="13">
        <f>M13-U13</f>
        <v/>
      </c>
      <c r="W13" s="14">
        <f>W12+V13</f>
        <v/>
      </c>
      <c r="X13" s="5">
        <f>IF(W13&gt;=Inputs!$B$46,A13,"")</f>
        <v/>
      </c>
    </row>
    <row r="14">
      <c r="A14" s="5" t="n">
        <v>10</v>
      </c>
      <c r="B14" s="5">
        <f>INT((A14-1)/12)+1</f>
        <v/>
      </c>
      <c r="C14" s="5">
        <f>MOD(Inputs!$B$6-1+A14-1,12)+1</f>
        <v/>
      </c>
      <c r="D14" s="5">
        <f>INDEX(Inputs!$A$55:$A$66,C14)</f>
        <v/>
      </c>
      <c r="E14" s="12">
        <f>IF(B14=1,Inputs!$B$49+(Inputs!$B$50-Inputs!$B$49)*(A14-1)/12,INDEX(Inputs!$B$49:$B$51,B14))</f>
        <v/>
      </c>
      <c r="F14" s="30">
        <f>INDEX(Inputs!$B$55:$B$66,C14)</f>
        <v/>
      </c>
      <c r="G14" s="32">
        <f>Inputs!$E$13*Inputs!$B$21*E14*F14</f>
        <v/>
      </c>
      <c r="H14" s="14">
        <f>G14*Inputs!$E$12</f>
        <v/>
      </c>
      <c r="I14" s="14">
        <f>G14*Inputs!$B$22*Inputs!$B$23</f>
        <v/>
      </c>
      <c r="J14" s="14">
        <f>Inputs!$B$24*E14*INDEX(Inputs!$C$55:$C$66,C14)*Inputs!$B$25</f>
        <v/>
      </c>
      <c r="K14" s="14">
        <f>Inputs!$B$26*E14*INDEX(Inputs!$D$55:$D$66,C14)*Inputs!$B$27*2</f>
        <v/>
      </c>
      <c r="L14" s="14">
        <f>Inputs!$B$28*E14*F14</f>
        <v/>
      </c>
      <c r="M14" s="13">
        <f>SUM(H14:L14)</f>
        <v/>
      </c>
      <c r="N14" s="14">
        <f>(H14+I14)*Inputs!$B$29</f>
        <v/>
      </c>
      <c r="O14" s="14">
        <f>SUM(H14:K14)*Inputs!$B$30</f>
        <v/>
      </c>
      <c r="P14" s="14">
        <f>Inputs!$B$17*Inputs!$E$10/12</f>
        <v/>
      </c>
      <c r="Q14" s="14">
        <f>Inputs!$B$18*Inputs!$B$19*Inputs!$E$11*(1+Inputs!$B$20)</f>
        <v/>
      </c>
      <c r="R14" s="14">
        <f>SUM(Inputs!$B$31:$B$36)</f>
        <v/>
      </c>
      <c r="S14" s="14">
        <f>Inputs!$B$45</f>
        <v/>
      </c>
      <c r="T14" s="14">
        <f>Inputs!$B$37</f>
        <v/>
      </c>
      <c r="U14" s="13">
        <f>SUM(N14:T14)</f>
        <v/>
      </c>
      <c r="V14" s="13">
        <f>M14-U14</f>
        <v/>
      </c>
      <c r="W14" s="14">
        <f>W13+V14</f>
        <v/>
      </c>
      <c r="X14" s="5">
        <f>IF(W14&gt;=Inputs!$B$46,A14,"")</f>
        <v/>
      </c>
    </row>
    <row r="15">
      <c r="A15" s="5" t="n">
        <v>11</v>
      </c>
      <c r="B15" s="5">
        <f>INT((A15-1)/12)+1</f>
        <v/>
      </c>
      <c r="C15" s="5">
        <f>MOD(Inputs!$B$6-1+A15-1,12)+1</f>
        <v/>
      </c>
      <c r="D15" s="5">
        <f>INDEX(Inputs!$A$55:$A$66,C15)</f>
        <v/>
      </c>
      <c r="E15" s="12">
        <f>IF(B15=1,Inputs!$B$49+(Inputs!$B$50-Inputs!$B$49)*(A15-1)/12,INDEX(Inputs!$B$49:$B$51,B15))</f>
        <v/>
      </c>
      <c r="F15" s="30">
        <f>INDEX(Inputs!$B$55:$B$66,C15)</f>
        <v/>
      </c>
      <c r="G15" s="32">
        <f>Inputs!$E$13*Inputs!$B$21*E15*F15</f>
        <v/>
      </c>
      <c r="H15" s="14">
        <f>G15*Inputs!$E$12</f>
        <v/>
      </c>
      <c r="I15" s="14">
        <f>G15*Inputs!$B$22*Inputs!$B$23</f>
        <v/>
      </c>
      <c r="J15" s="14">
        <f>Inputs!$B$24*E15*INDEX(Inputs!$C$55:$C$66,C15)*Inputs!$B$25</f>
        <v/>
      </c>
      <c r="K15" s="14">
        <f>Inputs!$B$26*E15*INDEX(Inputs!$D$55:$D$66,C15)*Inputs!$B$27*2</f>
        <v/>
      </c>
      <c r="L15" s="14">
        <f>Inputs!$B$28*E15*F15</f>
        <v/>
      </c>
      <c r="M15" s="13">
        <f>SUM(H15:L15)</f>
        <v/>
      </c>
      <c r="N15" s="14">
        <f>(H15+I15)*Inputs!$B$29</f>
        <v/>
      </c>
      <c r="O15" s="14">
        <f>SUM(H15:K15)*Inputs!$B$30</f>
        <v/>
      </c>
      <c r="P15" s="14">
        <f>Inputs!$B$17*Inputs!$E$10/12</f>
        <v/>
      </c>
      <c r="Q15" s="14">
        <f>Inputs!$B$18*Inputs!$B$19*Inputs!$E$11*(1+Inputs!$B$20)</f>
        <v/>
      </c>
      <c r="R15" s="14">
        <f>SUM(Inputs!$B$31:$B$36)</f>
        <v/>
      </c>
      <c r="S15" s="14">
        <f>Inputs!$B$45</f>
        <v/>
      </c>
      <c r="T15" s="14">
        <f>Inputs!$B$37</f>
        <v/>
      </c>
      <c r="U15" s="13">
        <f>SUM(N15:T15)</f>
        <v/>
      </c>
      <c r="V15" s="13">
        <f>M15-U15</f>
        <v/>
      </c>
      <c r="W15" s="14">
        <f>W14+V15</f>
        <v/>
      </c>
      <c r="X15" s="5">
        <f>IF(W15&gt;=Inputs!$B$46,A15,"")</f>
        <v/>
      </c>
    </row>
    <row r="16">
      <c r="A16" s="33" t="n">
        <v>12</v>
      </c>
      <c r="B16" s="33">
        <f>INT((A16-1)/12)+1</f>
        <v/>
      </c>
      <c r="C16" s="33">
        <f>MOD(Inputs!$B$6-1+A16-1,12)+1</f>
        <v/>
      </c>
      <c r="D16" s="33">
        <f>INDEX(Inputs!$A$55:$A$66,C16)</f>
        <v/>
      </c>
      <c r="E16" s="34">
        <f>IF(B16=1,Inputs!$B$49+(Inputs!$B$50-Inputs!$B$49)*(A16-1)/12,INDEX(Inputs!$B$49:$B$51,B16))</f>
        <v/>
      </c>
      <c r="F16" s="35">
        <f>INDEX(Inputs!$B$55:$B$66,C16)</f>
        <v/>
      </c>
      <c r="G16" s="36">
        <f>Inputs!$E$13*Inputs!$B$21*E16*F16</f>
        <v/>
      </c>
      <c r="H16" s="37">
        <f>G16*Inputs!$E$12</f>
        <v/>
      </c>
      <c r="I16" s="37">
        <f>G16*Inputs!$B$22*Inputs!$B$23</f>
        <v/>
      </c>
      <c r="J16" s="37">
        <f>Inputs!$B$24*E16*INDEX(Inputs!$C$55:$C$66,C16)*Inputs!$B$25</f>
        <v/>
      </c>
      <c r="K16" s="37">
        <f>Inputs!$B$26*E16*INDEX(Inputs!$D$55:$D$66,C16)*Inputs!$B$27*2</f>
        <v/>
      </c>
      <c r="L16" s="37">
        <f>Inputs!$B$28*E16*F16</f>
        <v/>
      </c>
      <c r="M16" s="38">
        <f>SUM(H16:L16)</f>
        <v/>
      </c>
      <c r="N16" s="37">
        <f>(H16+I16)*Inputs!$B$29</f>
        <v/>
      </c>
      <c r="O16" s="37">
        <f>SUM(H16:K16)*Inputs!$B$30</f>
        <v/>
      </c>
      <c r="P16" s="37">
        <f>Inputs!$B$17*Inputs!$E$10/12</f>
        <v/>
      </c>
      <c r="Q16" s="37">
        <f>Inputs!$B$18*Inputs!$B$19*Inputs!$E$11*(1+Inputs!$B$20)</f>
        <v/>
      </c>
      <c r="R16" s="37">
        <f>SUM(Inputs!$B$31:$B$36)</f>
        <v/>
      </c>
      <c r="S16" s="37">
        <f>Inputs!$B$45</f>
        <v/>
      </c>
      <c r="T16" s="37">
        <f>Inputs!$B$37</f>
        <v/>
      </c>
      <c r="U16" s="38">
        <f>SUM(N16:T16)</f>
        <v/>
      </c>
      <c r="V16" s="38">
        <f>M16-U16</f>
        <v/>
      </c>
      <c r="W16" s="37">
        <f>W15+V16</f>
        <v/>
      </c>
      <c r="X16" s="33">
        <f>IF(W16&gt;=Inputs!$B$46,A16,"")</f>
        <v/>
      </c>
    </row>
    <row r="17">
      <c r="A17" s="5" t="n">
        <v>13</v>
      </c>
      <c r="B17" s="5">
        <f>INT((A17-1)/12)+1</f>
        <v/>
      </c>
      <c r="C17" s="5">
        <f>MOD(Inputs!$B$6-1+A17-1,12)+1</f>
        <v/>
      </c>
      <c r="D17" s="5">
        <f>INDEX(Inputs!$A$55:$A$66,C17)</f>
        <v/>
      </c>
      <c r="E17" s="12">
        <f>IF(B17=1,Inputs!$B$49+(Inputs!$B$50-Inputs!$B$49)*(A17-1)/12,INDEX(Inputs!$B$49:$B$51,B17))</f>
        <v/>
      </c>
      <c r="F17" s="30">
        <f>INDEX(Inputs!$B$55:$B$66,C17)</f>
        <v/>
      </c>
      <c r="G17" s="32">
        <f>Inputs!$E$13*Inputs!$B$21*E17*F17</f>
        <v/>
      </c>
      <c r="H17" s="14">
        <f>G17*Inputs!$E$12</f>
        <v/>
      </c>
      <c r="I17" s="14">
        <f>G17*Inputs!$B$22*Inputs!$B$23</f>
        <v/>
      </c>
      <c r="J17" s="14">
        <f>Inputs!$B$24*E17*INDEX(Inputs!$C$55:$C$66,C17)*Inputs!$B$25</f>
        <v/>
      </c>
      <c r="K17" s="14">
        <f>Inputs!$B$26*E17*INDEX(Inputs!$D$55:$D$66,C17)*Inputs!$B$27*2</f>
        <v/>
      </c>
      <c r="L17" s="14">
        <f>Inputs!$B$28*E17*F17</f>
        <v/>
      </c>
      <c r="M17" s="13">
        <f>SUM(H17:L17)</f>
        <v/>
      </c>
      <c r="N17" s="14">
        <f>(H17+I17)*Inputs!$B$29</f>
        <v/>
      </c>
      <c r="O17" s="14">
        <f>SUM(H17:K17)*Inputs!$B$30</f>
        <v/>
      </c>
      <c r="P17" s="14">
        <f>Inputs!$B$17*Inputs!$E$10/12</f>
        <v/>
      </c>
      <c r="Q17" s="14">
        <f>Inputs!$B$18*Inputs!$B$19*Inputs!$E$11*(1+Inputs!$B$20)</f>
        <v/>
      </c>
      <c r="R17" s="14">
        <f>SUM(Inputs!$B$31:$B$36)</f>
        <v/>
      </c>
      <c r="S17" s="14">
        <f>Inputs!$B$45</f>
        <v/>
      </c>
      <c r="T17" s="14">
        <f>Inputs!$B$37</f>
        <v/>
      </c>
      <c r="U17" s="13">
        <f>SUM(N17:T17)</f>
        <v/>
      </c>
      <c r="V17" s="13">
        <f>M17-U17</f>
        <v/>
      </c>
      <c r="W17" s="14">
        <f>W16+V17</f>
        <v/>
      </c>
      <c r="X17" s="5">
        <f>IF(W17&gt;=Inputs!$B$46,A17,"")</f>
        <v/>
      </c>
    </row>
    <row r="18">
      <c r="A18" s="5" t="n">
        <v>14</v>
      </c>
      <c r="B18" s="5">
        <f>INT((A18-1)/12)+1</f>
        <v/>
      </c>
      <c r="C18" s="5">
        <f>MOD(Inputs!$B$6-1+A18-1,12)+1</f>
        <v/>
      </c>
      <c r="D18" s="5">
        <f>INDEX(Inputs!$A$55:$A$66,C18)</f>
        <v/>
      </c>
      <c r="E18" s="12">
        <f>IF(B18=1,Inputs!$B$49+(Inputs!$B$50-Inputs!$B$49)*(A18-1)/12,INDEX(Inputs!$B$49:$B$51,B18))</f>
        <v/>
      </c>
      <c r="F18" s="30">
        <f>INDEX(Inputs!$B$55:$B$66,C18)</f>
        <v/>
      </c>
      <c r="G18" s="32">
        <f>Inputs!$E$13*Inputs!$B$21*E18*F18</f>
        <v/>
      </c>
      <c r="H18" s="14">
        <f>G18*Inputs!$E$12</f>
        <v/>
      </c>
      <c r="I18" s="14">
        <f>G18*Inputs!$B$22*Inputs!$B$23</f>
        <v/>
      </c>
      <c r="J18" s="14">
        <f>Inputs!$B$24*E18*INDEX(Inputs!$C$55:$C$66,C18)*Inputs!$B$25</f>
        <v/>
      </c>
      <c r="K18" s="14">
        <f>Inputs!$B$26*E18*INDEX(Inputs!$D$55:$D$66,C18)*Inputs!$B$27*2</f>
        <v/>
      </c>
      <c r="L18" s="14">
        <f>Inputs!$B$28*E18*F18</f>
        <v/>
      </c>
      <c r="M18" s="13">
        <f>SUM(H18:L18)</f>
        <v/>
      </c>
      <c r="N18" s="14">
        <f>(H18+I18)*Inputs!$B$29</f>
        <v/>
      </c>
      <c r="O18" s="14">
        <f>SUM(H18:K18)*Inputs!$B$30</f>
        <v/>
      </c>
      <c r="P18" s="14">
        <f>Inputs!$B$17*Inputs!$E$10/12</f>
        <v/>
      </c>
      <c r="Q18" s="14">
        <f>Inputs!$B$18*Inputs!$B$19*Inputs!$E$11*(1+Inputs!$B$20)</f>
        <v/>
      </c>
      <c r="R18" s="14">
        <f>SUM(Inputs!$B$31:$B$36)</f>
        <v/>
      </c>
      <c r="S18" s="14">
        <f>Inputs!$B$45</f>
        <v/>
      </c>
      <c r="T18" s="14">
        <f>Inputs!$B$37</f>
        <v/>
      </c>
      <c r="U18" s="13">
        <f>SUM(N18:T18)</f>
        <v/>
      </c>
      <c r="V18" s="13">
        <f>M18-U18</f>
        <v/>
      </c>
      <c r="W18" s="14">
        <f>W17+V18</f>
        <v/>
      </c>
      <c r="X18" s="5">
        <f>IF(W18&gt;=Inputs!$B$46,A18,"")</f>
        <v/>
      </c>
    </row>
    <row r="19">
      <c r="A19" s="5" t="n">
        <v>15</v>
      </c>
      <c r="B19" s="5">
        <f>INT((A19-1)/12)+1</f>
        <v/>
      </c>
      <c r="C19" s="5">
        <f>MOD(Inputs!$B$6-1+A19-1,12)+1</f>
        <v/>
      </c>
      <c r="D19" s="5">
        <f>INDEX(Inputs!$A$55:$A$66,C19)</f>
        <v/>
      </c>
      <c r="E19" s="12">
        <f>IF(B19=1,Inputs!$B$49+(Inputs!$B$50-Inputs!$B$49)*(A19-1)/12,INDEX(Inputs!$B$49:$B$51,B19))</f>
        <v/>
      </c>
      <c r="F19" s="30">
        <f>INDEX(Inputs!$B$55:$B$66,C19)</f>
        <v/>
      </c>
      <c r="G19" s="32">
        <f>Inputs!$E$13*Inputs!$B$21*E19*F19</f>
        <v/>
      </c>
      <c r="H19" s="14">
        <f>G19*Inputs!$E$12</f>
        <v/>
      </c>
      <c r="I19" s="14">
        <f>G19*Inputs!$B$22*Inputs!$B$23</f>
        <v/>
      </c>
      <c r="J19" s="14">
        <f>Inputs!$B$24*E19*INDEX(Inputs!$C$55:$C$66,C19)*Inputs!$B$25</f>
        <v/>
      </c>
      <c r="K19" s="14">
        <f>Inputs!$B$26*E19*INDEX(Inputs!$D$55:$D$66,C19)*Inputs!$B$27*2</f>
        <v/>
      </c>
      <c r="L19" s="14">
        <f>Inputs!$B$28*E19*F19</f>
        <v/>
      </c>
      <c r="M19" s="13">
        <f>SUM(H19:L19)</f>
        <v/>
      </c>
      <c r="N19" s="14">
        <f>(H19+I19)*Inputs!$B$29</f>
        <v/>
      </c>
      <c r="O19" s="14">
        <f>SUM(H19:K19)*Inputs!$B$30</f>
        <v/>
      </c>
      <c r="P19" s="14">
        <f>Inputs!$B$17*Inputs!$E$10/12</f>
        <v/>
      </c>
      <c r="Q19" s="14">
        <f>Inputs!$B$18*Inputs!$B$19*Inputs!$E$11*(1+Inputs!$B$20)</f>
        <v/>
      </c>
      <c r="R19" s="14">
        <f>SUM(Inputs!$B$31:$B$36)</f>
        <v/>
      </c>
      <c r="S19" s="14">
        <f>Inputs!$B$45</f>
        <v/>
      </c>
      <c r="T19" s="14">
        <f>Inputs!$B$37</f>
        <v/>
      </c>
      <c r="U19" s="13">
        <f>SUM(N19:T19)</f>
        <v/>
      </c>
      <c r="V19" s="13">
        <f>M19-U19</f>
        <v/>
      </c>
      <c r="W19" s="14">
        <f>W18+V19</f>
        <v/>
      </c>
      <c r="X19" s="5">
        <f>IF(W19&gt;=Inputs!$B$46,A19,"")</f>
        <v/>
      </c>
    </row>
    <row r="20">
      <c r="A20" s="5" t="n">
        <v>16</v>
      </c>
      <c r="B20" s="5">
        <f>INT((A20-1)/12)+1</f>
        <v/>
      </c>
      <c r="C20" s="5">
        <f>MOD(Inputs!$B$6-1+A20-1,12)+1</f>
        <v/>
      </c>
      <c r="D20" s="5">
        <f>INDEX(Inputs!$A$55:$A$66,C20)</f>
        <v/>
      </c>
      <c r="E20" s="12">
        <f>IF(B20=1,Inputs!$B$49+(Inputs!$B$50-Inputs!$B$49)*(A20-1)/12,INDEX(Inputs!$B$49:$B$51,B20))</f>
        <v/>
      </c>
      <c r="F20" s="30">
        <f>INDEX(Inputs!$B$55:$B$66,C20)</f>
        <v/>
      </c>
      <c r="G20" s="32">
        <f>Inputs!$E$13*Inputs!$B$21*E20*F20</f>
        <v/>
      </c>
      <c r="H20" s="14">
        <f>G20*Inputs!$E$12</f>
        <v/>
      </c>
      <c r="I20" s="14">
        <f>G20*Inputs!$B$22*Inputs!$B$23</f>
        <v/>
      </c>
      <c r="J20" s="14">
        <f>Inputs!$B$24*E20*INDEX(Inputs!$C$55:$C$66,C20)*Inputs!$B$25</f>
        <v/>
      </c>
      <c r="K20" s="14">
        <f>Inputs!$B$26*E20*INDEX(Inputs!$D$55:$D$66,C20)*Inputs!$B$27*2</f>
        <v/>
      </c>
      <c r="L20" s="14">
        <f>Inputs!$B$28*E20*F20</f>
        <v/>
      </c>
      <c r="M20" s="13">
        <f>SUM(H20:L20)</f>
        <v/>
      </c>
      <c r="N20" s="14">
        <f>(H20+I20)*Inputs!$B$29</f>
        <v/>
      </c>
      <c r="O20" s="14">
        <f>SUM(H20:K20)*Inputs!$B$30</f>
        <v/>
      </c>
      <c r="P20" s="14">
        <f>Inputs!$B$17*Inputs!$E$10/12</f>
        <v/>
      </c>
      <c r="Q20" s="14">
        <f>Inputs!$B$18*Inputs!$B$19*Inputs!$E$11*(1+Inputs!$B$20)</f>
        <v/>
      </c>
      <c r="R20" s="14">
        <f>SUM(Inputs!$B$31:$B$36)</f>
        <v/>
      </c>
      <c r="S20" s="14">
        <f>Inputs!$B$45</f>
        <v/>
      </c>
      <c r="T20" s="14">
        <f>Inputs!$B$37</f>
        <v/>
      </c>
      <c r="U20" s="13">
        <f>SUM(N20:T20)</f>
        <v/>
      </c>
      <c r="V20" s="13">
        <f>M20-U20</f>
        <v/>
      </c>
      <c r="W20" s="14">
        <f>W19+V20</f>
        <v/>
      </c>
      <c r="X20" s="5">
        <f>IF(W20&gt;=Inputs!$B$46,A20,"")</f>
        <v/>
      </c>
    </row>
    <row r="21">
      <c r="A21" s="5" t="n">
        <v>17</v>
      </c>
      <c r="B21" s="5">
        <f>INT((A21-1)/12)+1</f>
        <v/>
      </c>
      <c r="C21" s="5">
        <f>MOD(Inputs!$B$6-1+A21-1,12)+1</f>
        <v/>
      </c>
      <c r="D21" s="5">
        <f>INDEX(Inputs!$A$55:$A$66,C21)</f>
        <v/>
      </c>
      <c r="E21" s="12">
        <f>IF(B21=1,Inputs!$B$49+(Inputs!$B$50-Inputs!$B$49)*(A21-1)/12,INDEX(Inputs!$B$49:$B$51,B21))</f>
        <v/>
      </c>
      <c r="F21" s="30">
        <f>INDEX(Inputs!$B$55:$B$66,C21)</f>
        <v/>
      </c>
      <c r="G21" s="32">
        <f>Inputs!$E$13*Inputs!$B$21*E21*F21</f>
        <v/>
      </c>
      <c r="H21" s="14">
        <f>G21*Inputs!$E$12</f>
        <v/>
      </c>
      <c r="I21" s="14">
        <f>G21*Inputs!$B$22*Inputs!$B$23</f>
        <v/>
      </c>
      <c r="J21" s="14">
        <f>Inputs!$B$24*E21*INDEX(Inputs!$C$55:$C$66,C21)*Inputs!$B$25</f>
        <v/>
      </c>
      <c r="K21" s="14">
        <f>Inputs!$B$26*E21*INDEX(Inputs!$D$55:$D$66,C21)*Inputs!$B$27*2</f>
        <v/>
      </c>
      <c r="L21" s="14">
        <f>Inputs!$B$28*E21*F21</f>
        <v/>
      </c>
      <c r="M21" s="13">
        <f>SUM(H21:L21)</f>
        <v/>
      </c>
      <c r="N21" s="14">
        <f>(H21+I21)*Inputs!$B$29</f>
        <v/>
      </c>
      <c r="O21" s="14">
        <f>SUM(H21:K21)*Inputs!$B$30</f>
        <v/>
      </c>
      <c r="P21" s="14">
        <f>Inputs!$B$17*Inputs!$E$10/12</f>
        <v/>
      </c>
      <c r="Q21" s="14">
        <f>Inputs!$B$18*Inputs!$B$19*Inputs!$E$11*(1+Inputs!$B$20)</f>
        <v/>
      </c>
      <c r="R21" s="14">
        <f>SUM(Inputs!$B$31:$B$36)</f>
        <v/>
      </c>
      <c r="S21" s="14">
        <f>Inputs!$B$45</f>
        <v/>
      </c>
      <c r="T21" s="14">
        <f>Inputs!$B$37</f>
        <v/>
      </c>
      <c r="U21" s="13">
        <f>SUM(N21:T21)</f>
        <v/>
      </c>
      <c r="V21" s="13">
        <f>M21-U21</f>
        <v/>
      </c>
      <c r="W21" s="14">
        <f>W20+V21</f>
        <v/>
      </c>
      <c r="X21" s="5">
        <f>IF(W21&gt;=Inputs!$B$46,A21,"")</f>
        <v/>
      </c>
    </row>
    <row r="22">
      <c r="A22" s="5" t="n">
        <v>18</v>
      </c>
      <c r="B22" s="5">
        <f>INT((A22-1)/12)+1</f>
        <v/>
      </c>
      <c r="C22" s="5">
        <f>MOD(Inputs!$B$6-1+A22-1,12)+1</f>
        <v/>
      </c>
      <c r="D22" s="5">
        <f>INDEX(Inputs!$A$55:$A$66,C22)</f>
        <v/>
      </c>
      <c r="E22" s="12">
        <f>IF(B22=1,Inputs!$B$49+(Inputs!$B$50-Inputs!$B$49)*(A22-1)/12,INDEX(Inputs!$B$49:$B$51,B22))</f>
        <v/>
      </c>
      <c r="F22" s="30">
        <f>INDEX(Inputs!$B$55:$B$66,C22)</f>
        <v/>
      </c>
      <c r="G22" s="32">
        <f>Inputs!$E$13*Inputs!$B$21*E22*F22</f>
        <v/>
      </c>
      <c r="H22" s="14">
        <f>G22*Inputs!$E$12</f>
        <v/>
      </c>
      <c r="I22" s="14">
        <f>G22*Inputs!$B$22*Inputs!$B$23</f>
        <v/>
      </c>
      <c r="J22" s="14">
        <f>Inputs!$B$24*E22*INDEX(Inputs!$C$55:$C$66,C22)*Inputs!$B$25</f>
        <v/>
      </c>
      <c r="K22" s="14">
        <f>Inputs!$B$26*E22*INDEX(Inputs!$D$55:$D$66,C22)*Inputs!$B$27*2</f>
        <v/>
      </c>
      <c r="L22" s="14">
        <f>Inputs!$B$28*E22*F22</f>
        <v/>
      </c>
      <c r="M22" s="13">
        <f>SUM(H22:L22)</f>
        <v/>
      </c>
      <c r="N22" s="14">
        <f>(H22+I22)*Inputs!$B$29</f>
        <v/>
      </c>
      <c r="O22" s="14">
        <f>SUM(H22:K22)*Inputs!$B$30</f>
        <v/>
      </c>
      <c r="P22" s="14">
        <f>Inputs!$B$17*Inputs!$E$10/12</f>
        <v/>
      </c>
      <c r="Q22" s="14">
        <f>Inputs!$B$18*Inputs!$B$19*Inputs!$E$11*(1+Inputs!$B$20)</f>
        <v/>
      </c>
      <c r="R22" s="14">
        <f>SUM(Inputs!$B$31:$B$36)</f>
        <v/>
      </c>
      <c r="S22" s="14">
        <f>Inputs!$B$45</f>
        <v/>
      </c>
      <c r="T22" s="14">
        <f>Inputs!$B$37</f>
        <v/>
      </c>
      <c r="U22" s="13">
        <f>SUM(N22:T22)</f>
        <v/>
      </c>
      <c r="V22" s="13">
        <f>M22-U22</f>
        <v/>
      </c>
      <c r="W22" s="14">
        <f>W21+V22</f>
        <v/>
      </c>
      <c r="X22" s="5">
        <f>IF(W22&gt;=Inputs!$B$46,A22,"")</f>
        <v/>
      </c>
    </row>
    <row r="23">
      <c r="A23" s="5" t="n">
        <v>19</v>
      </c>
      <c r="B23" s="5">
        <f>INT((A23-1)/12)+1</f>
        <v/>
      </c>
      <c r="C23" s="5">
        <f>MOD(Inputs!$B$6-1+A23-1,12)+1</f>
        <v/>
      </c>
      <c r="D23" s="5">
        <f>INDEX(Inputs!$A$55:$A$66,C23)</f>
        <v/>
      </c>
      <c r="E23" s="12">
        <f>IF(B23=1,Inputs!$B$49+(Inputs!$B$50-Inputs!$B$49)*(A23-1)/12,INDEX(Inputs!$B$49:$B$51,B23))</f>
        <v/>
      </c>
      <c r="F23" s="30">
        <f>INDEX(Inputs!$B$55:$B$66,C23)</f>
        <v/>
      </c>
      <c r="G23" s="32">
        <f>Inputs!$E$13*Inputs!$B$21*E23*F23</f>
        <v/>
      </c>
      <c r="H23" s="14">
        <f>G23*Inputs!$E$12</f>
        <v/>
      </c>
      <c r="I23" s="14">
        <f>G23*Inputs!$B$22*Inputs!$B$23</f>
        <v/>
      </c>
      <c r="J23" s="14">
        <f>Inputs!$B$24*E23*INDEX(Inputs!$C$55:$C$66,C23)*Inputs!$B$25</f>
        <v/>
      </c>
      <c r="K23" s="14">
        <f>Inputs!$B$26*E23*INDEX(Inputs!$D$55:$D$66,C23)*Inputs!$B$27*2</f>
        <v/>
      </c>
      <c r="L23" s="14">
        <f>Inputs!$B$28*E23*F23</f>
        <v/>
      </c>
      <c r="M23" s="13">
        <f>SUM(H23:L23)</f>
        <v/>
      </c>
      <c r="N23" s="14">
        <f>(H23+I23)*Inputs!$B$29</f>
        <v/>
      </c>
      <c r="O23" s="14">
        <f>SUM(H23:K23)*Inputs!$B$30</f>
        <v/>
      </c>
      <c r="P23" s="14">
        <f>Inputs!$B$17*Inputs!$E$10/12</f>
        <v/>
      </c>
      <c r="Q23" s="14">
        <f>Inputs!$B$18*Inputs!$B$19*Inputs!$E$11*(1+Inputs!$B$20)</f>
        <v/>
      </c>
      <c r="R23" s="14">
        <f>SUM(Inputs!$B$31:$B$36)</f>
        <v/>
      </c>
      <c r="S23" s="14">
        <f>Inputs!$B$45</f>
        <v/>
      </c>
      <c r="T23" s="14">
        <f>Inputs!$B$37</f>
        <v/>
      </c>
      <c r="U23" s="13">
        <f>SUM(N23:T23)</f>
        <v/>
      </c>
      <c r="V23" s="13">
        <f>M23-U23</f>
        <v/>
      </c>
      <c r="W23" s="14">
        <f>W22+V23</f>
        <v/>
      </c>
      <c r="X23" s="5">
        <f>IF(W23&gt;=Inputs!$B$46,A23,"")</f>
        <v/>
      </c>
    </row>
    <row r="24">
      <c r="A24" s="5" t="n">
        <v>20</v>
      </c>
      <c r="B24" s="5">
        <f>INT((A24-1)/12)+1</f>
        <v/>
      </c>
      <c r="C24" s="5">
        <f>MOD(Inputs!$B$6-1+A24-1,12)+1</f>
        <v/>
      </c>
      <c r="D24" s="5">
        <f>INDEX(Inputs!$A$55:$A$66,C24)</f>
        <v/>
      </c>
      <c r="E24" s="12">
        <f>IF(B24=1,Inputs!$B$49+(Inputs!$B$50-Inputs!$B$49)*(A24-1)/12,INDEX(Inputs!$B$49:$B$51,B24))</f>
        <v/>
      </c>
      <c r="F24" s="30">
        <f>INDEX(Inputs!$B$55:$B$66,C24)</f>
        <v/>
      </c>
      <c r="G24" s="32">
        <f>Inputs!$E$13*Inputs!$B$21*E24*F24</f>
        <v/>
      </c>
      <c r="H24" s="14">
        <f>G24*Inputs!$E$12</f>
        <v/>
      </c>
      <c r="I24" s="14">
        <f>G24*Inputs!$B$22*Inputs!$B$23</f>
        <v/>
      </c>
      <c r="J24" s="14">
        <f>Inputs!$B$24*E24*INDEX(Inputs!$C$55:$C$66,C24)*Inputs!$B$25</f>
        <v/>
      </c>
      <c r="K24" s="14">
        <f>Inputs!$B$26*E24*INDEX(Inputs!$D$55:$D$66,C24)*Inputs!$B$27*2</f>
        <v/>
      </c>
      <c r="L24" s="14">
        <f>Inputs!$B$28*E24*F24</f>
        <v/>
      </c>
      <c r="M24" s="13">
        <f>SUM(H24:L24)</f>
        <v/>
      </c>
      <c r="N24" s="14">
        <f>(H24+I24)*Inputs!$B$29</f>
        <v/>
      </c>
      <c r="O24" s="14">
        <f>SUM(H24:K24)*Inputs!$B$30</f>
        <v/>
      </c>
      <c r="P24" s="14">
        <f>Inputs!$B$17*Inputs!$E$10/12</f>
        <v/>
      </c>
      <c r="Q24" s="14">
        <f>Inputs!$B$18*Inputs!$B$19*Inputs!$E$11*(1+Inputs!$B$20)</f>
        <v/>
      </c>
      <c r="R24" s="14">
        <f>SUM(Inputs!$B$31:$B$36)</f>
        <v/>
      </c>
      <c r="S24" s="14">
        <f>Inputs!$B$45</f>
        <v/>
      </c>
      <c r="T24" s="14">
        <f>Inputs!$B$37</f>
        <v/>
      </c>
      <c r="U24" s="13">
        <f>SUM(N24:T24)</f>
        <v/>
      </c>
      <c r="V24" s="13">
        <f>M24-U24</f>
        <v/>
      </c>
      <c r="W24" s="14">
        <f>W23+V24</f>
        <v/>
      </c>
      <c r="X24" s="5">
        <f>IF(W24&gt;=Inputs!$B$46,A24,"")</f>
        <v/>
      </c>
    </row>
    <row r="25">
      <c r="A25" s="5" t="n">
        <v>21</v>
      </c>
      <c r="B25" s="5">
        <f>INT((A25-1)/12)+1</f>
        <v/>
      </c>
      <c r="C25" s="5">
        <f>MOD(Inputs!$B$6-1+A25-1,12)+1</f>
        <v/>
      </c>
      <c r="D25" s="5">
        <f>INDEX(Inputs!$A$55:$A$66,C25)</f>
        <v/>
      </c>
      <c r="E25" s="12">
        <f>IF(B25=1,Inputs!$B$49+(Inputs!$B$50-Inputs!$B$49)*(A25-1)/12,INDEX(Inputs!$B$49:$B$51,B25))</f>
        <v/>
      </c>
      <c r="F25" s="30">
        <f>INDEX(Inputs!$B$55:$B$66,C25)</f>
        <v/>
      </c>
      <c r="G25" s="32">
        <f>Inputs!$E$13*Inputs!$B$21*E25*F25</f>
        <v/>
      </c>
      <c r="H25" s="14">
        <f>G25*Inputs!$E$12</f>
        <v/>
      </c>
      <c r="I25" s="14">
        <f>G25*Inputs!$B$22*Inputs!$B$23</f>
        <v/>
      </c>
      <c r="J25" s="14">
        <f>Inputs!$B$24*E25*INDEX(Inputs!$C$55:$C$66,C25)*Inputs!$B$25</f>
        <v/>
      </c>
      <c r="K25" s="14">
        <f>Inputs!$B$26*E25*INDEX(Inputs!$D$55:$D$66,C25)*Inputs!$B$27*2</f>
        <v/>
      </c>
      <c r="L25" s="14">
        <f>Inputs!$B$28*E25*F25</f>
        <v/>
      </c>
      <c r="M25" s="13">
        <f>SUM(H25:L25)</f>
        <v/>
      </c>
      <c r="N25" s="14">
        <f>(H25+I25)*Inputs!$B$29</f>
        <v/>
      </c>
      <c r="O25" s="14">
        <f>SUM(H25:K25)*Inputs!$B$30</f>
        <v/>
      </c>
      <c r="P25" s="14">
        <f>Inputs!$B$17*Inputs!$E$10/12</f>
        <v/>
      </c>
      <c r="Q25" s="14">
        <f>Inputs!$B$18*Inputs!$B$19*Inputs!$E$11*(1+Inputs!$B$20)</f>
        <v/>
      </c>
      <c r="R25" s="14">
        <f>SUM(Inputs!$B$31:$B$36)</f>
        <v/>
      </c>
      <c r="S25" s="14">
        <f>Inputs!$B$45</f>
        <v/>
      </c>
      <c r="T25" s="14">
        <f>Inputs!$B$37</f>
        <v/>
      </c>
      <c r="U25" s="13">
        <f>SUM(N25:T25)</f>
        <v/>
      </c>
      <c r="V25" s="13">
        <f>M25-U25</f>
        <v/>
      </c>
      <c r="W25" s="14">
        <f>W24+V25</f>
        <v/>
      </c>
      <c r="X25" s="5">
        <f>IF(W25&gt;=Inputs!$B$46,A25,"")</f>
        <v/>
      </c>
    </row>
    <row r="26">
      <c r="A26" s="5" t="n">
        <v>22</v>
      </c>
      <c r="B26" s="5">
        <f>INT((A26-1)/12)+1</f>
        <v/>
      </c>
      <c r="C26" s="5">
        <f>MOD(Inputs!$B$6-1+A26-1,12)+1</f>
        <v/>
      </c>
      <c r="D26" s="5">
        <f>INDEX(Inputs!$A$55:$A$66,C26)</f>
        <v/>
      </c>
      <c r="E26" s="12">
        <f>IF(B26=1,Inputs!$B$49+(Inputs!$B$50-Inputs!$B$49)*(A26-1)/12,INDEX(Inputs!$B$49:$B$51,B26))</f>
        <v/>
      </c>
      <c r="F26" s="30">
        <f>INDEX(Inputs!$B$55:$B$66,C26)</f>
        <v/>
      </c>
      <c r="G26" s="32">
        <f>Inputs!$E$13*Inputs!$B$21*E26*F26</f>
        <v/>
      </c>
      <c r="H26" s="14">
        <f>G26*Inputs!$E$12</f>
        <v/>
      </c>
      <c r="I26" s="14">
        <f>G26*Inputs!$B$22*Inputs!$B$23</f>
        <v/>
      </c>
      <c r="J26" s="14">
        <f>Inputs!$B$24*E26*INDEX(Inputs!$C$55:$C$66,C26)*Inputs!$B$25</f>
        <v/>
      </c>
      <c r="K26" s="14">
        <f>Inputs!$B$26*E26*INDEX(Inputs!$D$55:$D$66,C26)*Inputs!$B$27*2</f>
        <v/>
      </c>
      <c r="L26" s="14">
        <f>Inputs!$B$28*E26*F26</f>
        <v/>
      </c>
      <c r="M26" s="13">
        <f>SUM(H26:L26)</f>
        <v/>
      </c>
      <c r="N26" s="14">
        <f>(H26+I26)*Inputs!$B$29</f>
        <v/>
      </c>
      <c r="O26" s="14">
        <f>SUM(H26:K26)*Inputs!$B$30</f>
        <v/>
      </c>
      <c r="P26" s="14">
        <f>Inputs!$B$17*Inputs!$E$10/12</f>
        <v/>
      </c>
      <c r="Q26" s="14">
        <f>Inputs!$B$18*Inputs!$B$19*Inputs!$E$11*(1+Inputs!$B$20)</f>
        <v/>
      </c>
      <c r="R26" s="14">
        <f>SUM(Inputs!$B$31:$B$36)</f>
        <v/>
      </c>
      <c r="S26" s="14">
        <f>Inputs!$B$45</f>
        <v/>
      </c>
      <c r="T26" s="14">
        <f>Inputs!$B$37</f>
        <v/>
      </c>
      <c r="U26" s="13">
        <f>SUM(N26:T26)</f>
        <v/>
      </c>
      <c r="V26" s="13">
        <f>M26-U26</f>
        <v/>
      </c>
      <c r="W26" s="14">
        <f>W25+V26</f>
        <v/>
      </c>
      <c r="X26" s="5">
        <f>IF(W26&gt;=Inputs!$B$46,A26,"")</f>
        <v/>
      </c>
    </row>
    <row r="27">
      <c r="A27" s="5" t="n">
        <v>23</v>
      </c>
      <c r="B27" s="5">
        <f>INT((A27-1)/12)+1</f>
        <v/>
      </c>
      <c r="C27" s="5">
        <f>MOD(Inputs!$B$6-1+A27-1,12)+1</f>
        <v/>
      </c>
      <c r="D27" s="5">
        <f>INDEX(Inputs!$A$55:$A$66,C27)</f>
        <v/>
      </c>
      <c r="E27" s="12">
        <f>IF(B27=1,Inputs!$B$49+(Inputs!$B$50-Inputs!$B$49)*(A27-1)/12,INDEX(Inputs!$B$49:$B$51,B27))</f>
        <v/>
      </c>
      <c r="F27" s="30">
        <f>INDEX(Inputs!$B$55:$B$66,C27)</f>
        <v/>
      </c>
      <c r="G27" s="32">
        <f>Inputs!$E$13*Inputs!$B$21*E27*F27</f>
        <v/>
      </c>
      <c r="H27" s="14">
        <f>G27*Inputs!$E$12</f>
        <v/>
      </c>
      <c r="I27" s="14">
        <f>G27*Inputs!$B$22*Inputs!$B$23</f>
        <v/>
      </c>
      <c r="J27" s="14">
        <f>Inputs!$B$24*E27*INDEX(Inputs!$C$55:$C$66,C27)*Inputs!$B$25</f>
        <v/>
      </c>
      <c r="K27" s="14">
        <f>Inputs!$B$26*E27*INDEX(Inputs!$D$55:$D$66,C27)*Inputs!$B$27*2</f>
        <v/>
      </c>
      <c r="L27" s="14">
        <f>Inputs!$B$28*E27*F27</f>
        <v/>
      </c>
      <c r="M27" s="13">
        <f>SUM(H27:L27)</f>
        <v/>
      </c>
      <c r="N27" s="14">
        <f>(H27+I27)*Inputs!$B$29</f>
        <v/>
      </c>
      <c r="O27" s="14">
        <f>SUM(H27:K27)*Inputs!$B$30</f>
        <v/>
      </c>
      <c r="P27" s="14">
        <f>Inputs!$B$17*Inputs!$E$10/12</f>
        <v/>
      </c>
      <c r="Q27" s="14">
        <f>Inputs!$B$18*Inputs!$B$19*Inputs!$E$11*(1+Inputs!$B$20)</f>
        <v/>
      </c>
      <c r="R27" s="14">
        <f>SUM(Inputs!$B$31:$B$36)</f>
        <v/>
      </c>
      <c r="S27" s="14">
        <f>Inputs!$B$45</f>
        <v/>
      </c>
      <c r="T27" s="14">
        <f>Inputs!$B$37</f>
        <v/>
      </c>
      <c r="U27" s="13">
        <f>SUM(N27:T27)</f>
        <v/>
      </c>
      <c r="V27" s="13">
        <f>M27-U27</f>
        <v/>
      </c>
      <c r="W27" s="14">
        <f>W26+V27</f>
        <v/>
      </c>
      <c r="X27" s="5">
        <f>IF(W27&gt;=Inputs!$B$46,A27,"")</f>
        <v/>
      </c>
    </row>
    <row r="28">
      <c r="A28" s="33" t="n">
        <v>24</v>
      </c>
      <c r="B28" s="33">
        <f>INT((A28-1)/12)+1</f>
        <v/>
      </c>
      <c r="C28" s="33">
        <f>MOD(Inputs!$B$6-1+A28-1,12)+1</f>
        <v/>
      </c>
      <c r="D28" s="33">
        <f>INDEX(Inputs!$A$55:$A$66,C28)</f>
        <v/>
      </c>
      <c r="E28" s="34">
        <f>IF(B28=1,Inputs!$B$49+(Inputs!$B$50-Inputs!$B$49)*(A28-1)/12,INDEX(Inputs!$B$49:$B$51,B28))</f>
        <v/>
      </c>
      <c r="F28" s="35">
        <f>INDEX(Inputs!$B$55:$B$66,C28)</f>
        <v/>
      </c>
      <c r="G28" s="36">
        <f>Inputs!$E$13*Inputs!$B$21*E28*F28</f>
        <v/>
      </c>
      <c r="H28" s="37">
        <f>G28*Inputs!$E$12</f>
        <v/>
      </c>
      <c r="I28" s="37">
        <f>G28*Inputs!$B$22*Inputs!$B$23</f>
        <v/>
      </c>
      <c r="J28" s="37">
        <f>Inputs!$B$24*E28*INDEX(Inputs!$C$55:$C$66,C28)*Inputs!$B$25</f>
        <v/>
      </c>
      <c r="K28" s="37">
        <f>Inputs!$B$26*E28*INDEX(Inputs!$D$55:$D$66,C28)*Inputs!$B$27*2</f>
        <v/>
      </c>
      <c r="L28" s="37">
        <f>Inputs!$B$28*E28*F28</f>
        <v/>
      </c>
      <c r="M28" s="38">
        <f>SUM(H28:L28)</f>
        <v/>
      </c>
      <c r="N28" s="37">
        <f>(H28+I28)*Inputs!$B$29</f>
        <v/>
      </c>
      <c r="O28" s="37">
        <f>SUM(H28:K28)*Inputs!$B$30</f>
        <v/>
      </c>
      <c r="P28" s="37">
        <f>Inputs!$B$17*Inputs!$E$10/12</f>
        <v/>
      </c>
      <c r="Q28" s="37">
        <f>Inputs!$B$18*Inputs!$B$19*Inputs!$E$11*(1+Inputs!$B$20)</f>
        <v/>
      </c>
      <c r="R28" s="37">
        <f>SUM(Inputs!$B$31:$B$36)</f>
        <v/>
      </c>
      <c r="S28" s="37">
        <f>Inputs!$B$45</f>
        <v/>
      </c>
      <c r="T28" s="37">
        <f>Inputs!$B$37</f>
        <v/>
      </c>
      <c r="U28" s="38">
        <f>SUM(N28:T28)</f>
        <v/>
      </c>
      <c r="V28" s="38">
        <f>M28-U28</f>
        <v/>
      </c>
      <c r="W28" s="37">
        <f>W27+V28</f>
        <v/>
      </c>
      <c r="X28" s="33">
        <f>IF(W28&gt;=Inputs!$B$46,A28,"")</f>
        <v/>
      </c>
    </row>
    <row r="29">
      <c r="A29" s="5" t="n">
        <v>25</v>
      </c>
      <c r="B29" s="5">
        <f>INT((A29-1)/12)+1</f>
        <v/>
      </c>
      <c r="C29" s="5">
        <f>MOD(Inputs!$B$6-1+A29-1,12)+1</f>
        <v/>
      </c>
      <c r="D29" s="5">
        <f>INDEX(Inputs!$A$55:$A$66,C29)</f>
        <v/>
      </c>
      <c r="E29" s="12">
        <f>IF(B29=1,Inputs!$B$49+(Inputs!$B$50-Inputs!$B$49)*(A29-1)/12,INDEX(Inputs!$B$49:$B$51,B29))</f>
        <v/>
      </c>
      <c r="F29" s="30">
        <f>INDEX(Inputs!$B$55:$B$66,C29)</f>
        <v/>
      </c>
      <c r="G29" s="32">
        <f>Inputs!$E$13*Inputs!$B$21*E29*F29</f>
        <v/>
      </c>
      <c r="H29" s="14">
        <f>G29*Inputs!$E$12</f>
        <v/>
      </c>
      <c r="I29" s="14">
        <f>G29*Inputs!$B$22*Inputs!$B$23</f>
        <v/>
      </c>
      <c r="J29" s="14">
        <f>Inputs!$B$24*E29*INDEX(Inputs!$C$55:$C$66,C29)*Inputs!$B$25</f>
        <v/>
      </c>
      <c r="K29" s="14">
        <f>Inputs!$B$26*E29*INDEX(Inputs!$D$55:$D$66,C29)*Inputs!$B$27*2</f>
        <v/>
      </c>
      <c r="L29" s="14">
        <f>Inputs!$B$28*E29*F29</f>
        <v/>
      </c>
      <c r="M29" s="13">
        <f>SUM(H29:L29)</f>
        <v/>
      </c>
      <c r="N29" s="14">
        <f>(H29+I29)*Inputs!$B$29</f>
        <v/>
      </c>
      <c r="O29" s="14">
        <f>SUM(H29:K29)*Inputs!$B$30</f>
        <v/>
      </c>
      <c r="P29" s="14">
        <f>Inputs!$B$17*Inputs!$E$10/12</f>
        <v/>
      </c>
      <c r="Q29" s="14">
        <f>Inputs!$B$18*Inputs!$B$19*Inputs!$E$11*(1+Inputs!$B$20)</f>
        <v/>
      </c>
      <c r="R29" s="14">
        <f>SUM(Inputs!$B$31:$B$36)</f>
        <v/>
      </c>
      <c r="S29" s="14">
        <f>Inputs!$B$45</f>
        <v/>
      </c>
      <c r="T29" s="14">
        <f>Inputs!$B$37</f>
        <v/>
      </c>
      <c r="U29" s="13">
        <f>SUM(N29:T29)</f>
        <v/>
      </c>
      <c r="V29" s="13">
        <f>M29-U29</f>
        <v/>
      </c>
      <c r="W29" s="14">
        <f>W28+V29</f>
        <v/>
      </c>
      <c r="X29" s="5">
        <f>IF(W29&gt;=Inputs!$B$46,A29,"")</f>
        <v/>
      </c>
    </row>
    <row r="30">
      <c r="A30" s="5" t="n">
        <v>26</v>
      </c>
      <c r="B30" s="5">
        <f>INT((A30-1)/12)+1</f>
        <v/>
      </c>
      <c r="C30" s="5">
        <f>MOD(Inputs!$B$6-1+A30-1,12)+1</f>
        <v/>
      </c>
      <c r="D30" s="5">
        <f>INDEX(Inputs!$A$55:$A$66,C30)</f>
        <v/>
      </c>
      <c r="E30" s="12">
        <f>IF(B30=1,Inputs!$B$49+(Inputs!$B$50-Inputs!$B$49)*(A30-1)/12,INDEX(Inputs!$B$49:$B$51,B30))</f>
        <v/>
      </c>
      <c r="F30" s="30">
        <f>INDEX(Inputs!$B$55:$B$66,C30)</f>
        <v/>
      </c>
      <c r="G30" s="32">
        <f>Inputs!$E$13*Inputs!$B$21*E30*F30</f>
        <v/>
      </c>
      <c r="H30" s="14">
        <f>G30*Inputs!$E$12</f>
        <v/>
      </c>
      <c r="I30" s="14">
        <f>G30*Inputs!$B$22*Inputs!$B$23</f>
        <v/>
      </c>
      <c r="J30" s="14">
        <f>Inputs!$B$24*E30*INDEX(Inputs!$C$55:$C$66,C30)*Inputs!$B$25</f>
        <v/>
      </c>
      <c r="K30" s="14">
        <f>Inputs!$B$26*E30*INDEX(Inputs!$D$55:$D$66,C30)*Inputs!$B$27*2</f>
        <v/>
      </c>
      <c r="L30" s="14">
        <f>Inputs!$B$28*E30*F30</f>
        <v/>
      </c>
      <c r="M30" s="13">
        <f>SUM(H30:L30)</f>
        <v/>
      </c>
      <c r="N30" s="14">
        <f>(H30+I30)*Inputs!$B$29</f>
        <v/>
      </c>
      <c r="O30" s="14">
        <f>SUM(H30:K30)*Inputs!$B$30</f>
        <v/>
      </c>
      <c r="P30" s="14">
        <f>Inputs!$B$17*Inputs!$E$10/12</f>
        <v/>
      </c>
      <c r="Q30" s="14">
        <f>Inputs!$B$18*Inputs!$B$19*Inputs!$E$11*(1+Inputs!$B$20)</f>
        <v/>
      </c>
      <c r="R30" s="14">
        <f>SUM(Inputs!$B$31:$B$36)</f>
        <v/>
      </c>
      <c r="S30" s="14">
        <f>Inputs!$B$45</f>
        <v/>
      </c>
      <c r="T30" s="14">
        <f>Inputs!$B$37</f>
        <v/>
      </c>
      <c r="U30" s="13">
        <f>SUM(N30:T30)</f>
        <v/>
      </c>
      <c r="V30" s="13">
        <f>M30-U30</f>
        <v/>
      </c>
      <c r="W30" s="14">
        <f>W29+V30</f>
        <v/>
      </c>
      <c r="X30" s="5">
        <f>IF(W30&gt;=Inputs!$B$46,A30,"")</f>
        <v/>
      </c>
    </row>
    <row r="31">
      <c r="A31" s="5" t="n">
        <v>27</v>
      </c>
      <c r="B31" s="5">
        <f>INT((A31-1)/12)+1</f>
        <v/>
      </c>
      <c r="C31" s="5">
        <f>MOD(Inputs!$B$6-1+A31-1,12)+1</f>
        <v/>
      </c>
      <c r="D31" s="5">
        <f>INDEX(Inputs!$A$55:$A$66,C31)</f>
        <v/>
      </c>
      <c r="E31" s="12">
        <f>IF(B31=1,Inputs!$B$49+(Inputs!$B$50-Inputs!$B$49)*(A31-1)/12,INDEX(Inputs!$B$49:$B$51,B31))</f>
        <v/>
      </c>
      <c r="F31" s="30">
        <f>INDEX(Inputs!$B$55:$B$66,C31)</f>
        <v/>
      </c>
      <c r="G31" s="32">
        <f>Inputs!$E$13*Inputs!$B$21*E31*F31</f>
        <v/>
      </c>
      <c r="H31" s="14">
        <f>G31*Inputs!$E$12</f>
        <v/>
      </c>
      <c r="I31" s="14">
        <f>G31*Inputs!$B$22*Inputs!$B$23</f>
        <v/>
      </c>
      <c r="J31" s="14">
        <f>Inputs!$B$24*E31*INDEX(Inputs!$C$55:$C$66,C31)*Inputs!$B$25</f>
        <v/>
      </c>
      <c r="K31" s="14">
        <f>Inputs!$B$26*E31*INDEX(Inputs!$D$55:$D$66,C31)*Inputs!$B$27*2</f>
        <v/>
      </c>
      <c r="L31" s="14">
        <f>Inputs!$B$28*E31*F31</f>
        <v/>
      </c>
      <c r="M31" s="13">
        <f>SUM(H31:L31)</f>
        <v/>
      </c>
      <c r="N31" s="14">
        <f>(H31+I31)*Inputs!$B$29</f>
        <v/>
      </c>
      <c r="O31" s="14">
        <f>SUM(H31:K31)*Inputs!$B$30</f>
        <v/>
      </c>
      <c r="P31" s="14">
        <f>Inputs!$B$17*Inputs!$E$10/12</f>
        <v/>
      </c>
      <c r="Q31" s="14">
        <f>Inputs!$B$18*Inputs!$B$19*Inputs!$E$11*(1+Inputs!$B$20)</f>
        <v/>
      </c>
      <c r="R31" s="14">
        <f>SUM(Inputs!$B$31:$B$36)</f>
        <v/>
      </c>
      <c r="S31" s="14">
        <f>Inputs!$B$45</f>
        <v/>
      </c>
      <c r="T31" s="14">
        <f>Inputs!$B$37</f>
        <v/>
      </c>
      <c r="U31" s="13">
        <f>SUM(N31:T31)</f>
        <v/>
      </c>
      <c r="V31" s="13">
        <f>M31-U31</f>
        <v/>
      </c>
      <c r="W31" s="14">
        <f>W30+V31</f>
        <v/>
      </c>
      <c r="X31" s="5">
        <f>IF(W31&gt;=Inputs!$B$46,A31,"")</f>
        <v/>
      </c>
    </row>
    <row r="32">
      <c r="A32" s="5" t="n">
        <v>28</v>
      </c>
      <c r="B32" s="5">
        <f>INT((A32-1)/12)+1</f>
        <v/>
      </c>
      <c r="C32" s="5">
        <f>MOD(Inputs!$B$6-1+A32-1,12)+1</f>
        <v/>
      </c>
      <c r="D32" s="5">
        <f>INDEX(Inputs!$A$55:$A$66,C32)</f>
        <v/>
      </c>
      <c r="E32" s="12">
        <f>IF(B32=1,Inputs!$B$49+(Inputs!$B$50-Inputs!$B$49)*(A32-1)/12,INDEX(Inputs!$B$49:$B$51,B32))</f>
        <v/>
      </c>
      <c r="F32" s="30">
        <f>INDEX(Inputs!$B$55:$B$66,C32)</f>
        <v/>
      </c>
      <c r="G32" s="32">
        <f>Inputs!$E$13*Inputs!$B$21*E32*F32</f>
        <v/>
      </c>
      <c r="H32" s="14">
        <f>G32*Inputs!$E$12</f>
        <v/>
      </c>
      <c r="I32" s="14">
        <f>G32*Inputs!$B$22*Inputs!$B$23</f>
        <v/>
      </c>
      <c r="J32" s="14">
        <f>Inputs!$B$24*E32*INDEX(Inputs!$C$55:$C$66,C32)*Inputs!$B$25</f>
        <v/>
      </c>
      <c r="K32" s="14">
        <f>Inputs!$B$26*E32*INDEX(Inputs!$D$55:$D$66,C32)*Inputs!$B$27*2</f>
        <v/>
      </c>
      <c r="L32" s="14">
        <f>Inputs!$B$28*E32*F32</f>
        <v/>
      </c>
      <c r="M32" s="13">
        <f>SUM(H32:L32)</f>
        <v/>
      </c>
      <c r="N32" s="14">
        <f>(H32+I32)*Inputs!$B$29</f>
        <v/>
      </c>
      <c r="O32" s="14">
        <f>SUM(H32:K32)*Inputs!$B$30</f>
        <v/>
      </c>
      <c r="P32" s="14">
        <f>Inputs!$B$17*Inputs!$E$10/12</f>
        <v/>
      </c>
      <c r="Q32" s="14">
        <f>Inputs!$B$18*Inputs!$B$19*Inputs!$E$11*(1+Inputs!$B$20)</f>
        <v/>
      </c>
      <c r="R32" s="14">
        <f>SUM(Inputs!$B$31:$B$36)</f>
        <v/>
      </c>
      <c r="S32" s="14">
        <f>Inputs!$B$45</f>
        <v/>
      </c>
      <c r="T32" s="14">
        <f>Inputs!$B$37</f>
        <v/>
      </c>
      <c r="U32" s="13">
        <f>SUM(N32:T32)</f>
        <v/>
      </c>
      <c r="V32" s="13">
        <f>M32-U32</f>
        <v/>
      </c>
      <c r="W32" s="14">
        <f>W31+V32</f>
        <v/>
      </c>
      <c r="X32" s="5">
        <f>IF(W32&gt;=Inputs!$B$46,A32,"")</f>
        <v/>
      </c>
    </row>
    <row r="33">
      <c r="A33" s="5" t="n">
        <v>29</v>
      </c>
      <c r="B33" s="5">
        <f>INT((A33-1)/12)+1</f>
        <v/>
      </c>
      <c r="C33" s="5">
        <f>MOD(Inputs!$B$6-1+A33-1,12)+1</f>
        <v/>
      </c>
      <c r="D33" s="5">
        <f>INDEX(Inputs!$A$55:$A$66,C33)</f>
        <v/>
      </c>
      <c r="E33" s="12">
        <f>IF(B33=1,Inputs!$B$49+(Inputs!$B$50-Inputs!$B$49)*(A33-1)/12,INDEX(Inputs!$B$49:$B$51,B33))</f>
        <v/>
      </c>
      <c r="F33" s="30">
        <f>INDEX(Inputs!$B$55:$B$66,C33)</f>
        <v/>
      </c>
      <c r="G33" s="32">
        <f>Inputs!$E$13*Inputs!$B$21*E33*F33</f>
        <v/>
      </c>
      <c r="H33" s="14">
        <f>G33*Inputs!$E$12</f>
        <v/>
      </c>
      <c r="I33" s="14">
        <f>G33*Inputs!$B$22*Inputs!$B$23</f>
        <v/>
      </c>
      <c r="J33" s="14">
        <f>Inputs!$B$24*E33*INDEX(Inputs!$C$55:$C$66,C33)*Inputs!$B$25</f>
        <v/>
      </c>
      <c r="K33" s="14">
        <f>Inputs!$B$26*E33*INDEX(Inputs!$D$55:$D$66,C33)*Inputs!$B$27*2</f>
        <v/>
      </c>
      <c r="L33" s="14">
        <f>Inputs!$B$28*E33*F33</f>
        <v/>
      </c>
      <c r="M33" s="13">
        <f>SUM(H33:L33)</f>
        <v/>
      </c>
      <c r="N33" s="14">
        <f>(H33+I33)*Inputs!$B$29</f>
        <v/>
      </c>
      <c r="O33" s="14">
        <f>SUM(H33:K33)*Inputs!$B$30</f>
        <v/>
      </c>
      <c r="P33" s="14">
        <f>Inputs!$B$17*Inputs!$E$10/12</f>
        <v/>
      </c>
      <c r="Q33" s="14">
        <f>Inputs!$B$18*Inputs!$B$19*Inputs!$E$11*(1+Inputs!$B$20)</f>
        <v/>
      </c>
      <c r="R33" s="14">
        <f>SUM(Inputs!$B$31:$B$36)</f>
        <v/>
      </c>
      <c r="S33" s="14">
        <f>Inputs!$B$45</f>
        <v/>
      </c>
      <c r="T33" s="14">
        <f>Inputs!$B$37</f>
        <v/>
      </c>
      <c r="U33" s="13">
        <f>SUM(N33:T33)</f>
        <v/>
      </c>
      <c r="V33" s="13">
        <f>M33-U33</f>
        <v/>
      </c>
      <c r="W33" s="14">
        <f>W32+V33</f>
        <v/>
      </c>
      <c r="X33" s="5">
        <f>IF(W33&gt;=Inputs!$B$46,A33,"")</f>
        <v/>
      </c>
    </row>
    <row r="34">
      <c r="A34" s="5" t="n">
        <v>30</v>
      </c>
      <c r="B34" s="5">
        <f>INT((A34-1)/12)+1</f>
        <v/>
      </c>
      <c r="C34" s="5">
        <f>MOD(Inputs!$B$6-1+A34-1,12)+1</f>
        <v/>
      </c>
      <c r="D34" s="5">
        <f>INDEX(Inputs!$A$55:$A$66,C34)</f>
        <v/>
      </c>
      <c r="E34" s="12">
        <f>IF(B34=1,Inputs!$B$49+(Inputs!$B$50-Inputs!$B$49)*(A34-1)/12,INDEX(Inputs!$B$49:$B$51,B34))</f>
        <v/>
      </c>
      <c r="F34" s="30">
        <f>INDEX(Inputs!$B$55:$B$66,C34)</f>
        <v/>
      </c>
      <c r="G34" s="32">
        <f>Inputs!$E$13*Inputs!$B$21*E34*F34</f>
        <v/>
      </c>
      <c r="H34" s="14">
        <f>G34*Inputs!$E$12</f>
        <v/>
      </c>
      <c r="I34" s="14">
        <f>G34*Inputs!$B$22*Inputs!$B$23</f>
        <v/>
      </c>
      <c r="J34" s="14">
        <f>Inputs!$B$24*E34*INDEX(Inputs!$C$55:$C$66,C34)*Inputs!$B$25</f>
        <v/>
      </c>
      <c r="K34" s="14">
        <f>Inputs!$B$26*E34*INDEX(Inputs!$D$55:$D$66,C34)*Inputs!$B$27*2</f>
        <v/>
      </c>
      <c r="L34" s="14">
        <f>Inputs!$B$28*E34*F34</f>
        <v/>
      </c>
      <c r="M34" s="13">
        <f>SUM(H34:L34)</f>
        <v/>
      </c>
      <c r="N34" s="14">
        <f>(H34+I34)*Inputs!$B$29</f>
        <v/>
      </c>
      <c r="O34" s="14">
        <f>SUM(H34:K34)*Inputs!$B$30</f>
        <v/>
      </c>
      <c r="P34" s="14">
        <f>Inputs!$B$17*Inputs!$E$10/12</f>
        <v/>
      </c>
      <c r="Q34" s="14">
        <f>Inputs!$B$18*Inputs!$B$19*Inputs!$E$11*(1+Inputs!$B$20)</f>
        <v/>
      </c>
      <c r="R34" s="14">
        <f>SUM(Inputs!$B$31:$B$36)</f>
        <v/>
      </c>
      <c r="S34" s="14">
        <f>Inputs!$B$45</f>
        <v/>
      </c>
      <c r="T34" s="14">
        <f>Inputs!$B$37</f>
        <v/>
      </c>
      <c r="U34" s="13">
        <f>SUM(N34:T34)</f>
        <v/>
      </c>
      <c r="V34" s="13">
        <f>M34-U34</f>
        <v/>
      </c>
      <c r="W34" s="14">
        <f>W33+V34</f>
        <v/>
      </c>
      <c r="X34" s="5">
        <f>IF(W34&gt;=Inputs!$B$46,A34,"")</f>
        <v/>
      </c>
    </row>
    <row r="35">
      <c r="A35" s="5" t="n">
        <v>31</v>
      </c>
      <c r="B35" s="5">
        <f>INT((A35-1)/12)+1</f>
        <v/>
      </c>
      <c r="C35" s="5">
        <f>MOD(Inputs!$B$6-1+A35-1,12)+1</f>
        <v/>
      </c>
      <c r="D35" s="5">
        <f>INDEX(Inputs!$A$55:$A$66,C35)</f>
        <v/>
      </c>
      <c r="E35" s="12">
        <f>IF(B35=1,Inputs!$B$49+(Inputs!$B$50-Inputs!$B$49)*(A35-1)/12,INDEX(Inputs!$B$49:$B$51,B35))</f>
        <v/>
      </c>
      <c r="F35" s="30">
        <f>INDEX(Inputs!$B$55:$B$66,C35)</f>
        <v/>
      </c>
      <c r="G35" s="32">
        <f>Inputs!$E$13*Inputs!$B$21*E35*F35</f>
        <v/>
      </c>
      <c r="H35" s="14">
        <f>G35*Inputs!$E$12</f>
        <v/>
      </c>
      <c r="I35" s="14">
        <f>G35*Inputs!$B$22*Inputs!$B$23</f>
        <v/>
      </c>
      <c r="J35" s="14">
        <f>Inputs!$B$24*E35*INDEX(Inputs!$C$55:$C$66,C35)*Inputs!$B$25</f>
        <v/>
      </c>
      <c r="K35" s="14">
        <f>Inputs!$B$26*E35*INDEX(Inputs!$D$55:$D$66,C35)*Inputs!$B$27*2</f>
        <v/>
      </c>
      <c r="L35" s="14">
        <f>Inputs!$B$28*E35*F35</f>
        <v/>
      </c>
      <c r="M35" s="13">
        <f>SUM(H35:L35)</f>
        <v/>
      </c>
      <c r="N35" s="14">
        <f>(H35+I35)*Inputs!$B$29</f>
        <v/>
      </c>
      <c r="O35" s="14">
        <f>SUM(H35:K35)*Inputs!$B$30</f>
        <v/>
      </c>
      <c r="P35" s="14">
        <f>Inputs!$B$17*Inputs!$E$10/12</f>
        <v/>
      </c>
      <c r="Q35" s="14">
        <f>Inputs!$B$18*Inputs!$B$19*Inputs!$E$11*(1+Inputs!$B$20)</f>
        <v/>
      </c>
      <c r="R35" s="14">
        <f>SUM(Inputs!$B$31:$B$36)</f>
        <v/>
      </c>
      <c r="S35" s="14">
        <f>Inputs!$B$45</f>
        <v/>
      </c>
      <c r="T35" s="14">
        <f>Inputs!$B$37</f>
        <v/>
      </c>
      <c r="U35" s="13">
        <f>SUM(N35:T35)</f>
        <v/>
      </c>
      <c r="V35" s="13">
        <f>M35-U35</f>
        <v/>
      </c>
      <c r="W35" s="14">
        <f>W34+V35</f>
        <v/>
      </c>
      <c r="X35" s="5">
        <f>IF(W35&gt;=Inputs!$B$46,A35,"")</f>
        <v/>
      </c>
    </row>
    <row r="36">
      <c r="A36" s="5" t="n">
        <v>32</v>
      </c>
      <c r="B36" s="5">
        <f>INT((A36-1)/12)+1</f>
        <v/>
      </c>
      <c r="C36" s="5">
        <f>MOD(Inputs!$B$6-1+A36-1,12)+1</f>
        <v/>
      </c>
      <c r="D36" s="5">
        <f>INDEX(Inputs!$A$55:$A$66,C36)</f>
        <v/>
      </c>
      <c r="E36" s="12">
        <f>IF(B36=1,Inputs!$B$49+(Inputs!$B$50-Inputs!$B$49)*(A36-1)/12,INDEX(Inputs!$B$49:$B$51,B36))</f>
        <v/>
      </c>
      <c r="F36" s="30">
        <f>INDEX(Inputs!$B$55:$B$66,C36)</f>
        <v/>
      </c>
      <c r="G36" s="32">
        <f>Inputs!$E$13*Inputs!$B$21*E36*F36</f>
        <v/>
      </c>
      <c r="H36" s="14">
        <f>G36*Inputs!$E$12</f>
        <v/>
      </c>
      <c r="I36" s="14">
        <f>G36*Inputs!$B$22*Inputs!$B$23</f>
        <v/>
      </c>
      <c r="J36" s="14">
        <f>Inputs!$B$24*E36*INDEX(Inputs!$C$55:$C$66,C36)*Inputs!$B$25</f>
        <v/>
      </c>
      <c r="K36" s="14">
        <f>Inputs!$B$26*E36*INDEX(Inputs!$D$55:$D$66,C36)*Inputs!$B$27*2</f>
        <v/>
      </c>
      <c r="L36" s="14">
        <f>Inputs!$B$28*E36*F36</f>
        <v/>
      </c>
      <c r="M36" s="13">
        <f>SUM(H36:L36)</f>
        <v/>
      </c>
      <c r="N36" s="14">
        <f>(H36+I36)*Inputs!$B$29</f>
        <v/>
      </c>
      <c r="O36" s="14">
        <f>SUM(H36:K36)*Inputs!$B$30</f>
        <v/>
      </c>
      <c r="P36" s="14">
        <f>Inputs!$B$17*Inputs!$E$10/12</f>
        <v/>
      </c>
      <c r="Q36" s="14">
        <f>Inputs!$B$18*Inputs!$B$19*Inputs!$E$11*(1+Inputs!$B$20)</f>
        <v/>
      </c>
      <c r="R36" s="14">
        <f>SUM(Inputs!$B$31:$B$36)</f>
        <v/>
      </c>
      <c r="S36" s="14">
        <f>Inputs!$B$45</f>
        <v/>
      </c>
      <c r="T36" s="14">
        <f>Inputs!$B$37</f>
        <v/>
      </c>
      <c r="U36" s="13">
        <f>SUM(N36:T36)</f>
        <v/>
      </c>
      <c r="V36" s="13">
        <f>M36-U36</f>
        <v/>
      </c>
      <c r="W36" s="14">
        <f>W35+V36</f>
        <v/>
      </c>
      <c r="X36" s="5">
        <f>IF(W36&gt;=Inputs!$B$46,A36,"")</f>
        <v/>
      </c>
    </row>
    <row r="37">
      <c r="A37" s="5" t="n">
        <v>33</v>
      </c>
      <c r="B37" s="5">
        <f>INT((A37-1)/12)+1</f>
        <v/>
      </c>
      <c r="C37" s="5">
        <f>MOD(Inputs!$B$6-1+A37-1,12)+1</f>
        <v/>
      </c>
      <c r="D37" s="5">
        <f>INDEX(Inputs!$A$55:$A$66,C37)</f>
        <v/>
      </c>
      <c r="E37" s="12">
        <f>IF(B37=1,Inputs!$B$49+(Inputs!$B$50-Inputs!$B$49)*(A37-1)/12,INDEX(Inputs!$B$49:$B$51,B37))</f>
        <v/>
      </c>
      <c r="F37" s="30">
        <f>INDEX(Inputs!$B$55:$B$66,C37)</f>
        <v/>
      </c>
      <c r="G37" s="32">
        <f>Inputs!$E$13*Inputs!$B$21*E37*F37</f>
        <v/>
      </c>
      <c r="H37" s="14">
        <f>G37*Inputs!$E$12</f>
        <v/>
      </c>
      <c r="I37" s="14">
        <f>G37*Inputs!$B$22*Inputs!$B$23</f>
        <v/>
      </c>
      <c r="J37" s="14">
        <f>Inputs!$B$24*E37*INDEX(Inputs!$C$55:$C$66,C37)*Inputs!$B$25</f>
        <v/>
      </c>
      <c r="K37" s="14">
        <f>Inputs!$B$26*E37*INDEX(Inputs!$D$55:$D$66,C37)*Inputs!$B$27*2</f>
        <v/>
      </c>
      <c r="L37" s="14">
        <f>Inputs!$B$28*E37*F37</f>
        <v/>
      </c>
      <c r="M37" s="13">
        <f>SUM(H37:L37)</f>
        <v/>
      </c>
      <c r="N37" s="14">
        <f>(H37+I37)*Inputs!$B$29</f>
        <v/>
      </c>
      <c r="O37" s="14">
        <f>SUM(H37:K37)*Inputs!$B$30</f>
        <v/>
      </c>
      <c r="P37" s="14">
        <f>Inputs!$B$17*Inputs!$E$10/12</f>
        <v/>
      </c>
      <c r="Q37" s="14">
        <f>Inputs!$B$18*Inputs!$B$19*Inputs!$E$11*(1+Inputs!$B$20)</f>
        <v/>
      </c>
      <c r="R37" s="14">
        <f>SUM(Inputs!$B$31:$B$36)</f>
        <v/>
      </c>
      <c r="S37" s="14">
        <f>Inputs!$B$45</f>
        <v/>
      </c>
      <c r="T37" s="14">
        <f>Inputs!$B$37</f>
        <v/>
      </c>
      <c r="U37" s="13">
        <f>SUM(N37:T37)</f>
        <v/>
      </c>
      <c r="V37" s="13">
        <f>M37-U37</f>
        <v/>
      </c>
      <c r="W37" s="14">
        <f>W36+V37</f>
        <v/>
      </c>
      <c r="X37" s="5">
        <f>IF(W37&gt;=Inputs!$B$46,A37,"")</f>
        <v/>
      </c>
    </row>
    <row r="38">
      <c r="A38" s="5" t="n">
        <v>34</v>
      </c>
      <c r="B38" s="5">
        <f>INT((A38-1)/12)+1</f>
        <v/>
      </c>
      <c r="C38" s="5">
        <f>MOD(Inputs!$B$6-1+A38-1,12)+1</f>
        <v/>
      </c>
      <c r="D38" s="5">
        <f>INDEX(Inputs!$A$55:$A$66,C38)</f>
        <v/>
      </c>
      <c r="E38" s="12">
        <f>IF(B38=1,Inputs!$B$49+(Inputs!$B$50-Inputs!$B$49)*(A38-1)/12,INDEX(Inputs!$B$49:$B$51,B38))</f>
        <v/>
      </c>
      <c r="F38" s="30">
        <f>INDEX(Inputs!$B$55:$B$66,C38)</f>
        <v/>
      </c>
      <c r="G38" s="32">
        <f>Inputs!$E$13*Inputs!$B$21*E38*F38</f>
        <v/>
      </c>
      <c r="H38" s="14">
        <f>G38*Inputs!$E$12</f>
        <v/>
      </c>
      <c r="I38" s="14">
        <f>G38*Inputs!$B$22*Inputs!$B$23</f>
        <v/>
      </c>
      <c r="J38" s="14">
        <f>Inputs!$B$24*E38*INDEX(Inputs!$C$55:$C$66,C38)*Inputs!$B$25</f>
        <v/>
      </c>
      <c r="K38" s="14">
        <f>Inputs!$B$26*E38*INDEX(Inputs!$D$55:$D$66,C38)*Inputs!$B$27*2</f>
        <v/>
      </c>
      <c r="L38" s="14">
        <f>Inputs!$B$28*E38*F38</f>
        <v/>
      </c>
      <c r="M38" s="13">
        <f>SUM(H38:L38)</f>
        <v/>
      </c>
      <c r="N38" s="14">
        <f>(H38+I38)*Inputs!$B$29</f>
        <v/>
      </c>
      <c r="O38" s="14">
        <f>SUM(H38:K38)*Inputs!$B$30</f>
        <v/>
      </c>
      <c r="P38" s="14">
        <f>Inputs!$B$17*Inputs!$E$10/12</f>
        <v/>
      </c>
      <c r="Q38" s="14">
        <f>Inputs!$B$18*Inputs!$B$19*Inputs!$E$11*(1+Inputs!$B$20)</f>
        <v/>
      </c>
      <c r="R38" s="14">
        <f>SUM(Inputs!$B$31:$B$36)</f>
        <v/>
      </c>
      <c r="S38" s="14">
        <f>Inputs!$B$45</f>
        <v/>
      </c>
      <c r="T38" s="14">
        <f>Inputs!$B$37</f>
        <v/>
      </c>
      <c r="U38" s="13">
        <f>SUM(N38:T38)</f>
        <v/>
      </c>
      <c r="V38" s="13">
        <f>M38-U38</f>
        <v/>
      </c>
      <c r="W38" s="14">
        <f>W37+V38</f>
        <v/>
      </c>
      <c r="X38" s="5">
        <f>IF(W38&gt;=Inputs!$B$46,A38,"")</f>
        <v/>
      </c>
    </row>
    <row r="39">
      <c r="A39" s="5" t="n">
        <v>35</v>
      </c>
      <c r="B39" s="5">
        <f>INT((A39-1)/12)+1</f>
        <v/>
      </c>
      <c r="C39" s="5">
        <f>MOD(Inputs!$B$6-1+A39-1,12)+1</f>
        <v/>
      </c>
      <c r="D39" s="5">
        <f>INDEX(Inputs!$A$55:$A$66,C39)</f>
        <v/>
      </c>
      <c r="E39" s="12">
        <f>IF(B39=1,Inputs!$B$49+(Inputs!$B$50-Inputs!$B$49)*(A39-1)/12,INDEX(Inputs!$B$49:$B$51,B39))</f>
        <v/>
      </c>
      <c r="F39" s="30">
        <f>INDEX(Inputs!$B$55:$B$66,C39)</f>
        <v/>
      </c>
      <c r="G39" s="32">
        <f>Inputs!$E$13*Inputs!$B$21*E39*F39</f>
        <v/>
      </c>
      <c r="H39" s="14">
        <f>G39*Inputs!$E$12</f>
        <v/>
      </c>
      <c r="I39" s="14">
        <f>G39*Inputs!$B$22*Inputs!$B$23</f>
        <v/>
      </c>
      <c r="J39" s="14">
        <f>Inputs!$B$24*E39*INDEX(Inputs!$C$55:$C$66,C39)*Inputs!$B$25</f>
        <v/>
      </c>
      <c r="K39" s="14">
        <f>Inputs!$B$26*E39*INDEX(Inputs!$D$55:$D$66,C39)*Inputs!$B$27*2</f>
        <v/>
      </c>
      <c r="L39" s="14">
        <f>Inputs!$B$28*E39*F39</f>
        <v/>
      </c>
      <c r="M39" s="13">
        <f>SUM(H39:L39)</f>
        <v/>
      </c>
      <c r="N39" s="14">
        <f>(H39+I39)*Inputs!$B$29</f>
        <v/>
      </c>
      <c r="O39" s="14">
        <f>SUM(H39:K39)*Inputs!$B$30</f>
        <v/>
      </c>
      <c r="P39" s="14">
        <f>Inputs!$B$17*Inputs!$E$10/12</f>
        <v/>
      </c>
      <c r="Q39" s="14">
        <f>Inputs!$B$18*Inputs!$B$19*Inputs!$E$11*(1+Inputs!$B$20)</f>
        <v/>
      </c>
      <c r="R39" s="14">
        <f>SUM(Inputs!$B$31:$B$36)</f>
        <v/>
      </c>
      <c r="S39" s="14">
        <f>Inputs!$B$45</f>
        <v/>
      </c>
      <c r="T39" s="14">
        <f>Inputs!$B$37</f>
        <v/>
      </c>
      <c r="U39" s="13">
        <f>SUM(N39:T39)</f>
        <v/>
      </c>
      <c r="V39" s="13">
        <f>M39-U39</f>
        <v/>
      </c>
      <c r="W39" s="14">
        <f>W38+V39</f>
        <v/>
      </c>
      <c r="X39" s="5">
        <f>IF(W39&gt;=Inputs!$B$46,A39,"")</f>
        <v/>
      </c>
    </row>
    <row r="40">
      <c r="A40" s="33" t="n">
        <v>36</v>
      </c>
      <c r="B40" s="33">
        <f>INT((A40-1)/12)+1</f>
        <v/>
      </c>
      <c r="C40" s="33">
        <f>MOD(Inputs!$B$6-1+A40-1,12)+1</f>
        <v/>
      </c>
      <c r="D40" s="33">
        <f>INDEX(Inputs!$A$55:$A$66,C40)</f>
        <v/>
      </c>
      <c r="E40" s="34">
        <f>IF(B40=1,Inputs!$B$49+(Inputs!$B$50-Inputs!$B$49)*(A40-1)/12,INDEX(Inputs!$B$49:$B$51,B40))</f>
        <v/>
      </c>
      <c r="F40" s="35">
        <f>INDEX(Inputs!$B$55:$B$66,C40)</f>
        <v/>
      </c>
      <c r="G40" s="36">
        <f>Inputs!$E$13*Inputs!$B$21*E40*F40</f>
        <v/>
      </c>
      <c r="H40" s="37">
        <f>G40*Inputs!$E$12</f>
        <v/>
      </c>
      <c r="I40" s="37">
        <f>G40*Inputs!$B$22*Inputs!$B$23</f>
        <v/>
      </c>
      <c r="J40" s="37">
        <f>Inputs!$B$24*E40*INDEX(Inputs!$C$55:$C$66,C40)*Inputs!$B$25</f>
        <v/>
      </c>
      <c r="K40" s="37">
        <f>Inputs!$B$26*E40*INDEX(Inputs!$D$55:$D$66,C40)*Inputs!$B$27*2</f>
        <v/>
      </c>
      <c r="L40" s="37">
        <f>Inputs!$B$28*E40*F40</f>
        <v/>
      </c>
      <c r="M40" s="38">
        <f>SUM(H40:L40)</f>
        <v/>
      </c>
      <c r="N40" s="37">
        <f>(H40+I40)*Inputs!$B$29</f>
        <v/>
      </c>
      <c r="O40" s="37">
        <f>SUM(H40:K40)*Inputs!$B$30</f>
        <v/>
      </c>
      <c r="P40" s="37">
        <f>Inputs!$B$17*Inputs!$E$10/12</f>
        <v/>
      </c>
      <c r="Q40" s="37">
        <f>Inputs!$B$18*Inputs!$B$19*Inputs!$E$11*(1+Inputs!$B$20)</f>
        <v/>
      </c>
      <c r="R40" s="37">
        <f>SUM(Inputs!$B$31:$B$36)</f>
        <v/>
      </c>
      <c r="S40" s="37">
        <f>Inputs!$B$45</f>
        <v/>
      </c>
      <c r="T40" s="37">
        <f>Inputs!$B$37</f>
        <v/>
      </c>
      <c r="U40" s="38">
        <f>SUM(N40:T40)</f>
        <v/>
      </c>
      <c r="V40" s="38">
        <f>M40-U40</f>
        <v/>
      </c>
      <c r="W40" s="37">
        <f>W39+V40</f>
        <v/>
      </c>
      <c r="X40" s="33">
        <f>IF(W40&gt;=Inputs!$B$46,A40,"")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1" t="inlineStr">
        <is>
          <t>Notes, Pricing Guide &amp; Sources</t>
        </is>
      </c>
    </row>
    <row r="2">
      <c r="A2" s="2" t="inlineStr"/>
    </row>
    <row r="3"/>
    <row r="4">
      <c r="A4" s="8" t="inlineStr">
        <is>
          <t>Typical NB service price</t>
        </is>
      </c>
      <c r="B4" s="8" t="inlineStr">
        <is>
          <t>Range (CAD, excl. HST)</t>
        </is>
      </c>
    </row>
    <row r="5">
      <c r="A5" s="5" t="inlineStr">
        <is>
          <t>Alignment check</t>
        </is>
      </c>
      <c r="B5" s="5" t="inlineStr">
        <is>
          <t>$30–60</t>
        </is>
      </c>
    </row>
    <row r="6">
      <c r="A6" s="5" t="inlineStr">
        <is>
          <t>Front (2-wheel) alignment</t>
        </is>
      </c>
      <c r="B6" s="5" t="inlineStr">
        <is>
          <t>$80–120</t>
        </is>
      </c>
    </row>
    <row r="7">
      <c r="A7" s="5" t="inlineStr">
        <is>
          <t>4-wheel alignment</t>
        </is>
      </c>
      <c r="B7" s="5" t="inlineStr">
        <is>
          <t>$110–170</t>
        </is>
      </c>
    </row>
    <row r="8">
      <c r="A8" s="5" t="inlineStr">
        <is>
          <t>Truck / lifted / luxury</t>
        </is>
      </c>
      <c r="B8" s="5" t="inlineStr">
        <is>
          <t>$150–250</t>
        </is>
      </c>
    </row>
    <row r="9">
      <c r="A9" s="5" t="inlineStr">
        <is>
          <t>Lifetime alignment package</t>
        </is>
      </c>
      <c r="B9" s="5" t="inlineStr">
        <is>
          <t>$200–300</t>
        </is>
      </c>
    </row>
    <row r="10">
      <c r="A10" s="5" t="inlineStr">
        <is>
          <t>ADAS recalibration</t>
        </is>
      </c>
      <c r="B10" s="5" t="inlineStr">
        <is>
          <t>$200–450</t>
        </is>
      </c>
    </row>
    <row r="11">
      <c r="A11" s="5" t="inlineStr">
        <is>
          <t>Wheel balancing (4)</t>
        </is>
      </c>
      <c r="B11" s="5" t="inlineStr">
        <is>
          <t>$60–100</t>
        </is>
      </c>
    </row>
    <row r="12">
      <c r="A12" s="5" t="inlineStr">
        <is>
          <t>Seasonal tire swap (on rims)</t>
        </is>
      </c>
      <c r="B12" s="5" t="inlineStr">
        <is>
          <t>$50–90</t>
        </is>
      </c>
    </row>
    <row r="13">
      <c r="A13" s="5" t="inlineStr">
        <is>
          <t>Mount &amp; balance (off rims)</t>
        </is>
      </c>
      <c r="B13" s="5" t="inlineStr">
        <is>
          <t>$100–160</t>
        </is>
      </c>
    </row>
    <row r="14">
      <c r="A14" s="5" t="inlineStr">
        <is>
          <t>Tire storage / season</t>
        </is>
      </c>
      <c r="B14" s="5" t="inlineStr">
        <is>
          <t>$60–100</t>
        </is>
      </c>
    </row>
    <row r="15"/>
    <row r="16"/>
    <row r="17" ht="32" customHeight="1">
      <c r="A17" s="39" t="inlineStr">
        <is>
          <t>Checklist: Service NB business registration · CRA GST/HST number · WorkSafeNB · municipal zoning/occupancy permit · Tire Stewardship NB · optional NB Motor Vehicle Inspection Station licence.</t>
        </is>
      </c>
    </row>
    <row r="18" ht="32" customHeight="1">
      <c r="A18" s="39" t="inlineStr">
        <is>
          <t>Funding: Canada Small Business Financing Program (CSBFP), BDC, Futurpreneur (ages 18–39), Opportunities NB, ACOA, supplier lease-to-own.</t>
        </is>
      </c>
    </row>
    <row r="19" ht="32" customHeight="1">
      <c r="A19" s="39" t="inlineStr">
        <is>
          <t>Prices, rents and equipment costs are estimates — get 3 local quotes for each before committing.</t>
        </is>
      </c>
    </row>
    <row r="20" ht="32" customHeight="1">
      <c r="A20" s="39" t="inlineStr">
        <is>
          <t>Sources: Payscale NB auto technician wages (2026); Job Bank wage data NB; CBRE Moncton Q2 2026; Realtor.ca Moncton industrial listings; Sunbit alignment cost guide.</t>
        </is>
      </c>
    </row>
  </sheetData>
  <mergeCells count="4">
    <mergeCell ref="A18:B18"/>
    <mergeCell ref="A20:B20"/>
    <mergeCell ref="A19:B19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2026-10-03T16:48:53Z</dcterms:created>
  <dcterms:modified xsi:type="dcterms:W3CDTF">2026-10-03T16:48:53Z</dcterms:modified>
</cp:coreProperties>
</file>